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oine\Mon Drive\Projet professionnel\VBA - Ostrum\"/>
    </mc:Choice>
  </mc:AlternateContent>
  <xr:revisionPtr revIDLastSave="0" documentId="13_ncr:1_{022872E7-2E36-4564-B9FE-04000503D8D5}" xr6:coauthVersionLast="47" xr6:coauthVersionMax="47" xr10:uidLastSave="{00000000-0000-0000-0000-000000000000}"/>
  <bookViews>
    <workbookView xWindow="-120" yWindow="-120" windowWidth="29040" windowHeight="15720" xr2:uid="{CC42F130-D6B3-4283-B84A-6D7A83EF5D4E}"/>
  </bookViews>
  <sheets>
    <sheet name="Instructions" sheetId="16" r:id="rId1"/>
    <sheet name="Bond" sheetId="1" r:id="rId2"/>
    <sheet name="Interest Rate Swap" sheetId="2" r:id="rId3"/>
    <sheet name="Total Return Swap" sheetId="3" r:id="rId4"/>
    <sheet name="Discount Rate" sheetId="4" r:id="rId5"/>
    <sheet name="EURIBOR" sheetId="12" r:id="rId6"/>
    <sheet name="Calendrier Français" sheetId="9" state="hidden" r:id="rId7"/>
    <sheet name="Calendrier Anglais" sheetId="15" state="hidden" r:id="rId8"/>
    <sheet name="Utilitaires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4" i="3" l="1"/>
  <c r="B10" i="1"/>
  <c r="B4" i="4" l="1"/>
  <c r="C2" i="15"/>
  <c r="D2" i="15"/>
  <c r="E2" i="15"/>
  <c r="F2" i="15"/>
  <c r="G2" i="15"/>
  <c r="H2" i="15"/>
  <c r="I2" i="15"/>
  <c r="J2" i="15"/>
  <c r="K2" i="15"/>
  <c r="L2" i="15"/>
  <c r="M2" i="15"/>
  <c r="N2" i="15"/>
  <c r="O2" i="15"/>
  <c r="P2" i="15"/>
  <c r="Q2" i="15"/>
  <c r="R2" i="15"/>
  <c r="S2" i="15"/>
  <c r="T2" i="15"/>
  <c r="U2" i="15"/>
  <c r="V2" i="15"/>
  <c r="W2" i="15"/>
  <c r="X2" i="15"/>
  <c r="Y2" i="15"/>
  <c r="Z2" i="15"/>
  <c r="AA2" i="15"/>
  <c r="AB2" i="15"/>
  <c r="AC2" i="15"/>
  <c r="AD2" i="15"/>
  <c r="C3" i="15"/>
  <c r="D3" i="15"/>
  <c r="E3" i="15"/>
  <c r="F3" i="15"/>
  <c r="G3" i="15"/>
  <c r="H3" i="15"/>
  <c r="I3" i="15"/>
  <c r="J3" i="15"/>
  <c r="K3" i="15"/>
  <c r="L3" i="15"/>
  <c r="M3" i="15"/>
  <c r="N3" i="15"/>
  <c r="O3" i="15"/>
  <c r="P3" i="15"/>
  <c r="Q3" i="15"/>
  <c r="R3" i="15"/>
  <c r="S3" i="15"/>
  <c r="T3" i="15"/>
  <c r="U3" i="15"/>
  <c r="V3" i="15"/>
  <c r="W3" i="15"/>
  <c r="X3" i="15"/>
  <c r="Y3" i="15"/>
  <c r="Z3" i="15"/>
  <c r="AA3" i="15"/>
  <c r="AB3" i="15"/>
  <c r="AC3" i="15"/>
  <c r="AD3" i="15"/>
  <c r="C4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Q4" i="15"/>
  <c r="R4" i="15"/>
  <c r="S4" i="15"/>
  <c r="T4" i="15"/>
  <c r="U4" i="15"/>
  <c r="V4" i="15"/>
  <c r="W4" i="15"/>
  <c r="X4" i="15"/>
  <c r="Y4" i="15"/>
  <c r="Z4" i="15"/>
  <c r="AA4" i="15"/>
  <c r="AB4" i="15"/>
  <c r="AC4" i="15"/>
  <c r="AD4" i="15"/>
  <c r="C5" i="15"/>
  <c r="D5" i="15"/>
  <c r="E5" i="15"/>
  <c r="F5" i="15"/>
  <c r="G5" i="15"/>
  <c r="H5" i="15"/>
  <c r="I5" i="15"/>
  <c r="J5" i="15"/>
  <c r="K5" i="15"/>
  <c r="L5" i="15"/>
  <c r="M5" i="15"/>
  <c r="N5" i="15"/>
  <c r="O5" i="15"/>
  <c r="P5" i="15"/>
  <c r="Q5" i="15"/>
  <c r="R5" i="15"/>
  <c r="S5" i="15"/>
  <c r="T5" i="15"/>
  <c r="U5" i="15"/>
  <c r="V5" i="15"/>
  <c r="W5" i="15"/>
  <c r="X5" i="15"/>
  <c r="Y5" i="15"/>
  <c r="Z5" i="15"/>
  <c r="AA5" i="15"/>
  <c r="AB5" i="15"/>
  <c r="AC5" i="15"/>
  <c r="AD5" i="15"/>
  <c r="C6" i="15"/>
  <c r="D6" i="15"/>
  <c r="E6" i="15"/>
  <c r="F6" i="15"/>
  <c r="G6" i="15"/>
  <c r="H6" i="15"/>
  <c r="I6" i="15"/>
  <c r="J6" i="15"/>
  <c r="K6" i="15"/>
  <c r="L6" i="15"/>
  <c r="M6" i="15"/>
  <c r="N6" i="15"/>
  <c r="O6" i="15"/>
  <c r="P6" i="15"/>
  <c r="Q6" i="15"/>
  <c r="R6" i="15"/>
  <c r="S6" i="15"/>
  <c r="T6" i="15"/>
  <c r="U6" i="15"/>
  <c r="V6" i="15"/>
  <c r="W6" i="15"/>
  <c r="X6" i="15"/>
  <c r="Y6" i="15"/>
  <c r="Z6" i="15"/>
  <c r="AA6" i="15"/>
  <c r="AB6" i="15"/>
  <c r="AC6" i="15"/>
  <c r="AD6" i="15"/>
  <c r="C7" i="15"/>
  <c r="D7" i="15"/>
  <c r="E7" i="15"/>
  <c r="F7" i="15"/>
  <c r="G7" i="15"/>
  <c r="H7" i="15"/>
  <c r="I7" i="15"/>
  <c r="J7" i="15"/>
  <c r="K7" i="15"/>
  <c r="L7" i="15"/>
  <c r="M7" i="15"/>
  <c r="N7" i="15"/>
  <c r="O7" i="15"/>
  <c r="P7" i="15"/>
  <c r="Q7" i="15"/>
  <c r="R7" i="15"/>
  <c r="S7" i="15"/>
  <c r="T7" i="15"/>
  <c r="U7" i="15"/>
  <c r="V7" i="15"/>
  <c r="W7" i="15"/>
  <c r="X7" i="15"/>
  <c r="Y7" i="15"/>
  <c r="Z7" i="15"/>
  <c r="AA7" i="15"/>
  <c r="AB7" i="15"/>
  <c r="AC7" i="15"/>
  <c r="AD7" i="15"/>
  <c r="C8" i="15"/>
  <c r="D8" i="15"/>
  <c r="E8" i="15"/>
  <c r="F8" i="15"/>
  <c r="G8" i="15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Y8" i="15"/>
  <c r="Z8" i="15"/>
  <c r="AA8" i="15"/>
  <c r="AB8" i="15"/>
  <c r="AC8" i="15"/>
  <c r="AD8" i="15"/>
  <c r="C9" i="15"/>
  <c r="D9" i="15"/>
  <c r="E9" i="15"/>
  <c r="F9" i="15"/>
  <c r="G9" i="15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Y9" i="15"/>
  <c r="Z9" i="15"/>
  <c r="AA9" i="15"/>
  <c r="AB9" i="15"/>
  <c r="AC9" i="15"/>
  <c r="AD9" i="15"/>
  <c r="B9" i="15"/>
  <c r="B8" i="15"/>
  <c r="B7" i="15"/>
  <c r="B6" i="15"/>
  <c r="B5" i="15"/>
  <c r="B4" i="15"/>
  <c r="B3" i="15"/>
  <c r="B2" i="15"/>
  <c r="B30" i="15" s="1"/>
  <c r="C2" i="9"/>
  <c r="D2" i="9"/>
  <c r="E2" i="9"/>
  <c r="F2" i="9"/>
  <c r="G2" i="9"/>
  <c r="H2" i="9"/>
  <c r="I2" i="9"/>
  <c r="J2" i="9"/>
  <c r="C3" i="9"/>
  <c r="C4" i="9" s="1"/>
  <c r="D3" i="9"/>
  <c r="D8" i="9" s="1"/>
  <c r="E3" i="9"/>
  <c r="E4" i="9" s="1"/>
  <c r="F3" i="9"/>
  <c r="F4" i="9" s="1"/>
  <c r="G3" i="9"/>
  <c r="G9" i="9" s="1"/>
  <c r="H3" i="9"/>
  <c r="I3" i="9"/>
  <c r="I4" i="9" s="1"/>
  <c r="J3" i="9"/>
  <c r="J8" i="9" s="1"/>
  <c r="H4" i="9"/>
  <c r="C5" i="9"/>
  <c r="D5" i="9"/>
  <c r="E5" i="9"/>
  <c r="F5" i="9"/>
  <c r="G5" i="9"/>
  <c r="H5" i="9"/>
  <c r="I5" i="9"/>
  <c r="J5" i="9"/>
  <c r="C6" i="9"/>
  <c r="D6" i="9"/>
  <c r="E6" i="9"/>
  <c r="F6" i="9"/>
  <c r="G6" i="9"/>
  <c r="H6" i="9"/>
  <c r="I6" i="9"/>
  <c r="J6" i="9"/>
  <c r="F7" i="9"/>
  <c r="H7" i="9"/>
  <c r="C8" i="9"/>
  <c r="H8" i="9"/>
  <c r="C9" i="9"/>
  <c r="D9" i="9"/>
  <c r="H9" i="9"/>
  <c r="C10" i="9"/>
  <c r="D10" i="9"/>
  <c r="E10" i="9"/>
  <c r="F10" i="9"/>
  <c r="G10" i="9"/>
  <c r="H10" i="9"/>
  <c r="I10" i="9"/>
  <c r="J10" i="9"/>
  <c r="C11" i="9"/>
  <c r="D11" i="9"/>
  <c r="E11" i="9"/>
  <c r="F11" i="9"/>
  <c r="G11" i="9"/>
  <c r="H11" i="9"/>
  <c r="I11" i="9"/>
  <c r="J11" i="9"/>
  <c r="C12" i="9"/>
  <c r="D12" i="9"/>
  <c r="E12" i="9"/>
  <c r="F12" i="9"/>
  <c r="G12" i="9"/>
  <c r="H12" i="9"/>
  <c r="I12" i="9"/>
  <c r="J12" i="9"/>
  <c r="C13" i="9"/>
  <c r="D13" i="9"/>
  <c r="E13" i="9"/>
  <c r="F13" i="9"/>
  <c r="G13" i="9"/>
  <c r="H13" i="9"/>
  <c r="I13" i="9"/>
  <c r="J13" i="9"/>
  <c r="C14" i="9"/>
  <c r="D14" i="9"/>
  <c r="E14" i="9"/>
  <c r="F14" i="9"/>
  <c r="G14" i="9"/>
  <c r="H14" i="9"/>
  <c r="I14" i="9"/>
  <c r="J14" i="9"/>
  <c r="B14" i="9"/>
  <c r="B13" i="9"/>
  <c r="B12" i="9"/>
  <c r="B11" i="9"/>
  <c r="B10" i="9"/>
  <c r="B6" i="9"/>
  <c r="B5" i="9"/>
  <c r="B3" i="9"/>
  <c r="B9" i="9" s="1"/>
  <c r="B2" i="9"/>
  <c r="K2" i="9"/>
  <c r="K3" i="9"/>
  <c r="K9" i="9" s="1"/>
  <c r="K5" i="9"/>
  <c r="K6" i="9"/>
  <c r="K10" i="9"/>
  <c r="K11" i="9"/>
  <c r="K12" i="9"/>
  <c r="K13" i="9"/>
  <c r="K14" i="9"/>
  <c r="B7" i="9" l="1"/>
  <c r="B30" i="9" s="1"/>
  <c r="B8" i="9"/>
  <c r="B4" i="9"/>
  <c r="G8" i="9"/>
  <c r="F9" i="9"/>
  <c r="F8" i="9"/>
  <c r="C7" i="9"/>
  <c r="G4" i="9"/>
  <c r="I7" i="9"/>
  <c r="I9" i="9"/>
  <c r="I8" i="9"/>
  <c r="G7" i="9"/>
  <c r="J7" i="9"/>
  <c r="D7" i="9"/>
  <c r="J4" i="9"/>
  <c r="D4" i="9"/>
  <c r="E8" i="9"/>
  <c r="E9" i="9"/>
  <c r="J9" i="9"/>
  <c r="E7" i="9"/>
  <c r="K8" i="9"/>
  <c r="K7" i="9"/>
  <c r="K4" i="9"/>
  <c r="B4" i="12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AC14" i="9"/>
  <c r="AD14" i="9"/>
  <c r="M3" i="9"/>
  <c r="M7" i="9" s="1"/>
  <c r="N3" i="9"/>
  <c r="N9" i="9" s="1"/>
  <c r="O3" i="9"/>
  <c r="O8" i="9" s="1"/>
  <c r="P3" i="9"/>
  <c r="P7" i="9" s="1"/>
  <c r="Q3" i="9"/>
  <c r="Q7" i="9" s="1"/>
  <c r="R3" i="9"/>
  <c r="R9" i="9" s="1"/>
  <c r="S3" i="9"/>
  <c r="S7" i="9" s="1"/>
  <c r="T3" i="9"/>
  <c r="T9" i="9" s="1"/>
  <c r="U3" i="9"/>
  <c r="U8" i="9" s="1"/>
  <c r="V3" i="9"/>
  <c r="V7" i="9" s="1"/>
  <c r="W3" i="9"/>
  <c r="W7" i="9" s="1"/>
  <c r="X3" i="9"/>
  <c r="X7" i="9" s="1"/>
  <c r="Y3" i="9"/>
  <c r="Y7" i="9" s="1"/>
  <c r="Z3" i="9"/>
  <c r="Z9" i="9" s="1"/>
  <c r="AA3" i="9"/>
  <c r="AA8" i="9" s="1"/>
  <c r="AB3" i="9"/>
  <c r="AB7" i="9" s="1"/>
  <c r="AC3" i="9"/>
  <c r="AC7" i="9" s="1"/>
  <c r="AD3" i="9"/>
  <c r="AD7" i="9" s="1"/>
  <c r="L3" i="9"/>
  <c r="L7" i="9" s="1"/>
  <c r="M2" i="9"/>
  <c r="N2" i="9"/>
  <c r="O2" i="9"/>
  <c r="P2" i="9"/>
  <c r="Q2" i="9"/>
  <c r="R2" i="9"/>
  <c r="S2" i="9"/>
  <c r="T2" i="9"/>
  <c r="U2" i="9"/>
  <c r="V2" i="9"/>
  <c r="W2" i="9"/>
  <c r="X2" i="9"/>
  <c r="Y2" i="9"/>
  <c r="Z2" i="9"/>
  <c r="AA2" i="9"/>
  <c r="AB2" i="9"/>
  <c r="AC2" i="9"/>
  <c r="AD2" i="9"/>
  <c r="L2" i="9"/>
  <c r="B3" i="3"/>
  <c r="L4" i="9" l="1"/>
  <c r="M8" i="9"/>
  <c r="Y4" i="9"/>
  <c r="Z7" i="9"/>
  <c r="S4" i="9"/>
  <c r="T7" i="9"/>
  <c r="M4" i="9"/>
  <c r="L9" i="9"/>
  <c r="N7" i="9"/>
  <c r="S8" i="9"/>
  <c r="Y8" i="9"/>
  <c r="Z4" i="9"/>
  <c r="T4" i="9"/>
  <c r="N4" i="9"/>
  <c r="Y9" i="9"/>
  <c r="S9" i="9"/>
  <c r="M9" i="9"/>
  <c r="Z8" i="9"/>
  <c r="T8" i="9"/>
  <c r="N8" i="9"/>
  <c r="AA7" i="9"/>
  <c r="U7" i="9"/>
  <c r="O7" i="9"/>
  <c r="AD4" i="9"/>
  <c r="X4" i="9"/>
  <c r="R4" i="9"/>
  <c r="AC9" i="9"/>
  <c r="W9" i="9"/>
  <c r="Q9" i="9"/>
  <c r="AD8" i="9"/>
  <c r="X8" i="9"/>
  <c r="R8" i="9"/>
  <c r="L8" i="9"/>
  <c r="AD9" i="9"/>
  <c r="X9" i="9"/>
  <c r="AC4" i="9"/>
  <c r="W4" i="9"/>
  <c r="Q4" i="9"/>
  <c r="AB9" i="9"/>
  <c r="V9" i="9"/>
  <c r="P9" i="9"/>
  <c r="AC8" i="9"/>
  <c r="W8" i="9"/>
  <c r="Q8" i="9"/>
  <c r="R7" i="9"/>
  <c r="AB4" i="9"/>
  <c r="V4" i="9"/>
  <c r="P4" i="9"/>
  <c r="AA9" i="9"/>
  <c r="U9" i="9"/>
  <c r="O9" i="9"/>
  <c r="AB8" i="9"/>
  <c r="V8" i="9"/>
  <c r="P8" i="9"/>
  <c r="AA4" i="9"/>
  <c r="U4" i="9"/>
  <c r="O4" i="9"/>
</calcChain>
</file>

<file path=xl/sharedStrings.xml><?xml version="1.0" encoding="utf-8"?>
<sst xmlns="http://schemas.openxmlformats.org/spreadsheetml/2006/main" count="225" uniqueCount="111">
  <si>
    <t>GENERAL</t>
  </si>
  <si>
    <t>Emetteur</t>
  </si>
  <si>
    <t>Caractéristiques</t>
  </si>
  <si>
    <t>Nature</t>
  </si>
  <si>
    <t>Date d'émission</t>
  </si>
  <si>
    <t>Date de maturité</t>
  </si>
  <si>
    <t>Type</t>
  </si>
  <si>
    <t>COUPONS</t>
  </si>
  <si>
    <t>DYNAMIQUES</t>
  </si>
  <si>
    <t>Fixe</t>
  </si>
  <si>
    <t>Classique</t>
  </si>
  <si>
    <t>Fréquence du coupon (par année)</t>
  </si>
  <si>
    <t>ECHEANCIER</t>
  </si>
  <si>
    <t>FLUX</t>
  </si>
  <si>
    <t>DISCOUNT</t>
  </si>
  <si>
    <t>Nombre de paiements</t>
  </si>
  <si>
    <t>Taux</t>
  </si>
  <si>
    <t>Maturité (année)</t>
  </si>
  <si>
    <t>Variable</t>
  </si>
  <si>
    <t>Amortissement</t>
  </si>
  <si>
    <t>Amortissable</t>
  </si>
  <si>
    <t>Natixis</t>
  </si>
  <si>
    <t>Taux nominal (annuel)</t>
  </si>
  <si>
    <t>Taux de référence (si Variable)</t>
  </si>
  <si>
    <t>Size</t>
  </si>
  <si>
    <t>Frequence Coupon</t>
  </si>
  <si>
    <t>Duration (années)</t>
  </si>
  <si>
    <t>Contrepartie</t>
  </si>
  <si>
    <t>Taux Fixe</t>
  </si>
  <si>
    <t>Taux Variable</t>
  </si>
  <si>
    <t>Décompte des jours</t>
  </si>
  <si>
    <t>Fréquence de paiments (par année)</t>
  </si>
  <si>
    <t>Position</t>
  </si>
  <si>
    <t>Acheteur</t>
  </si>
  <si>
    <t>Taux Variable (si variable)</t>
  </si>
  <si>
    <t>ACT/ACT</t>
  </si>
  <si>
    <t>Vendeur</t>
  </si>
  <si>
    <t>SOUS-JACENT</t>
  </si>
  <si>
    <t>Obligation</t>
  </si>
  <si>
    <t>Date de valorisation</t>
  </si>
  <si>
    <t>26/09/2030</t>
  </si>
  <si>
    <t>Taux de référence (si variable)</t>
  </si>
  <si>
    <t>Sous-Jacent</t>
  </si>
  <si>
    <t>_</t>
  </si>
  <si>
    <t>Jours Féries</t>
  </si>
  <si>
    <t>Jour de l'an</t>
  </si>
  <si>
    <t>Lundi de Pâques</t>
  </si>
  <si>
    <t>Pâques</t>
  </si>
  <si>
    <t>Fête du travail</t>
  </si>
  <si>
    <t>Armistice 39/45</t>
  </si>
  <si>
    <t>Ascension</t>
  </si>
  <si>
    <t>Pentecôte</t>
  </si>
  <si>
    <t>Lundi de Pentecôte</t>
  </si>
  <si>
    <t>Fête Nationale</t>
  </si>
  <si>
    <t>Assomption</t>
  </si>
  <si>
    <t>Toussaint</t>
  </si>
  <si>
    <t>Armistice 14/18</t>
  </si>
  <si>
    <t>Noël</t>
  </si>
  <si>
    <t>Convention jours non ouvrés</t>
  </si>
  <si>
    <t>Prochain</t>
  </si>
  <si>
    <t>Convention jours ouvrés</t>
  </si>
  <si>
    <t>Dernier</t>
  </si>
  <si>
    <t>Convetion</t>
  </si>
  <si>
    <t>ACT/360</t>
  </si>
  <si>
    <t>Produits</t>
  </si>
  <si>
    <t>Swap de taux</t>
  </si>
  <si>
    <t>TRS</t>
  </si>
  <si>
    <t>EURIBOR</t>
  </si>
  <si>
    <t>PRIX</t>
  </si>
  <si>
    <t>Nominal  (€)</t>
  </si>
  <si>
    <t>Nominal (€)</t>
  </si>
  <si>
    <t>FLUX DISCOUNT</t>
  </si>
  <si>
    <t>Calendrier</t>
  </si>
  <si>
    <t>Français</t>
  </si>
  <si>
    <t>Anglais</t>
  </si>
  <si>
    <t>Nouvel an</t>
  </si>
  <si>
    <t>Vendredi saint</t>
  </si>
  <si>
    <t>le 3 mai</t>
  </si>
  <si>
    <t>31 mai</t>
  </si>
  <si>
    <t>30 août</t>
  </si>
  <si>
    <t>"Boxing Day"</t>
  </si>
  <si>
    <t>Taux Actuariel</t>
  </si>
  <si>
    <t>Coupon couru</t>
  </si>
  <si>
    <t>Prix avec le taux actuariel</t>
  </si>
  <si>
    <t>Interpolation</t>
  </si>
  <si>
    <t>Linéaire</t>
  </si>
  <si>
    <t>Quadratique</t>
  </si>
  <si>
    <t>Erreur</t>
  </si>
  <si>
    <t>Nombre maximum d'itérations</t>
  </si>
  <si>
    <t>1.</t>
  </si>
  <si>
    <t>2.</t>
  </si>
  <si>
    <t>3.</t>
  </si>
  <si>
    <t>4.</t>
  </si>
  <si>
    <t>5.</t>
  </si>
  <si>
    <t>Prix Clean (€)</t>
  </si>
  <si>
    <t>Prix Dirty (€)</t>
  </si>
  <si>
    <t>Prix (€)</t>
  </si>
  <si>
    <t>2ème JAMBE</t>
  </si>
  <si>
    <t>1ère JAMBE</t>
  </si>
  <si>
    <t>Aller dans l'onglet de l'instrument choisi</t>
  </si>
  <si>
    <t>Exécuter une à une les macros sur la droite ou "ALL" pour toutes les exécuter en même temps</t>
  </si>
  <si>
    <t>Taux Swap</t>
  </si>
  <si>
    <t>TAUX ACTUARIEL</t>
  </si>
  <si>
    <t>TAUX SWAP</t>
  </si>
  <si>
    <t>Rentrer les différentes caractéristiques de l'instrument dans les cases vertes</t>
  </si>
  <si>
    <t>Les courbes de taux "Discount Rate" et "EURIBOR" sont des courbes spot et peuvent être mises à jour</t>
  </si>
  <si>
    <t>Les dates et les cash-flows futurs sont générés et le prix est affiché case B2</t>
  </si>
  <si>
    <t xml:space="preserve">6. </t>
  </si>
  <si>
    <t>Pour l'obligation le taux actuariel et la duration sont calculés</t>
  </si>
  <si>
    <t xml:space="preserve">7. </t>
  </si>
  <si>
    <t>Pour le swap de taux il est possible de trouver le taux swap de la jambe fixe grâce à la macro "Taux Swap"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</si>
</sst>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%"/>
    <numFmt numFmtId="165" formatCode="#,##0.00000000"/>
    <numFmt numFmtId="166" formatCode="#,##0.0000"/>
    <numFmt numFmtId="167" formatCode="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171717"/>
      <name val="Arial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7">
    <xf numFmtId="0" fontId="0" fillId="0" borderId="0" xfId="0"/>
    <xf numFmtId="14" fontId="0" fillId="0" borderId="0" xfId="0" applyNumberFormat="1"/>
    <xf numFmtId="10" fontId="0" fillId="0" borderId="0" xfId="0" applyNumberFormat="1"/>
    <xf numFmtId="11" fontId="0" fillId="0" borderId="0" xfId="0" applyNumberFormat="1"/>
    <xf numFmtId="0" fontId="0" fillId="0" borderId="0" xfId="0" applyAlignment="1">
      <alignment horizontal="right"/>
    </xf>
    <xf numFmtId="0" fontId="1" fillId="2" borderId="0" xfId="0" applyFont="1" applyFill="1" applyAlignment="1">
      <alignment wrapText="1"/>
    </xf>
    <xf numFmtId="0" fontId="1" fillId="2" borderId="0" xfId="0" applyFont="1" applyFill="1"/>
    <xf numFmtId="0" fontId="0" fillId="2" borderId="0" xfId="0" applyFill="1"/>
    <xf numFmtId="0" fontId="0" fillId="3" borderId="0" xfId="0" applyFill="1" applyAlignment="1">
      <alignment horizontal="right"/>
    </xf>
    <xf numFmtId="14" fontId="0" fillId="3" borderId="0" xfId="0" applyNumberFormat="1" applyFill="1" applyAlignment="1">
      <alignment horizontal="right"/>
    </xf>
    <xf numFmtId="49" fontId="0" fillId="3" borderId="0" xfId="0" applyNumberFormat="1" applyFill="1" applyAlignment="1">
      <alignment horizontal="right"/>
    </xf>
    <xf numFmtId="9" fontId="0" fillId="3" borderId="0" xfId="0" applyNumberFormat="1" applyFill="1" applyAlignment="1">
      <alignment horizontal="right"/>
    </xf>
    <xf numFmtId="0" fontId="0" fillId="3" borderId="0" xfId="0" applyFont="1" applyFill="1" applyAlignment="1">
      <alignment horizontal="right"/>
    </xf>
    <xf numFmtId="0" fontId="2" fillId="0" borderId="0" xfId="1"/>
    <xf numFmtId="0" fontId="0" fillId="2" borderId="0" xfId="0" applyFont="1" applyFill="1"/>
    <xf numFmtId="0" fontId="0" fillId="2" borderId="1" xfId="0" applyFill="1" applyBorder="1"/>
    <xf numFmtId="0" fontId="1" fillId="0" borderId="0" xfId="0" applyFont="1"/>
    <xf numFmtId="0" fontId="0" fillId="3" borderId="0" xfId="0" applyNumberFormat="1" applyFill="1" applyAlignment="1">
      <alignment horizontal="right"/>
    </xf>
    <xf numFmtId="10" fontId="0" fillId="3" borderId="0" xfId="0" applyNumberFormat="1" applyFill="1" applyAlignment="1">
      <alignment horizontal="right"/>
    </xf>
    <xf numFmtId="0" fontId="1" fillId="2" borderId="0" xfId="0" applyFont="1" applyFill="1" applyBorder="1" applyAlignment="1">
      <alignment wrapText="1"/>
    </xf>
    <xf numFmtId="0" fontId="1" fillId="2" borderId="0" xfId="0" applyFont="1" applyFill="1" applyBorder="1"/>
    <xf numFmtId="0" fontId="0" fillId="2" borderId="0" xfId="0" applyFill="1" applyBorder="1"/>
    <xf numFmtId="0" fontId="0" fillId="3" borderId="0" xfId="0" applyFill="1" applyBorder="1" applyAlignment="1">
      <alignment horizontal="right"/>
    </xf>
    <xf numFmtId="14" fontId="0" fillId="3" borderId="0" xfId="0" applyNumberFormat="1" applyFill="1" applyBorder="1" applyAlignment="1">
      <alignment horizontal="right"/>
    </xf>
    <xf numFmtId="49" fontId="0" fillId="3" borderId="0" xfId="0" applyNumberFormat="1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3" borderId="0" xfId="0" applyFont="1" applyFill="1" applyBorder="1" applyAlignment="1">
      <alignment horizontal="right"/>
    </xf>
    <xf numFmtId="10" fontId="0" fillId="3" borderId="0" xfId="0" applyNumberFormat="1" applyFill="1" applyBorder="1" applyAlignment="1">
      <alignment horizontal="right"/>
    </xf>
    <xf numFmtId="2" fontId="0" fillId="0" borderId="0" xfId="0" applyNumberFormat="1"/>
    <xf numFmtId="0" fontId="1" fillId="4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14" fontId="3" fillId="0" borderId="0" xfId="0" applyNumberFormat="1" applyFont="1"/>
    <xf numFmtId="10" fontId="0" fillId="3" borderId="0" xfId="0" applyNumberFormat="1" applyFill="1"/>
    <xf numFmtId="4" fontId="0" fillId="3" borderId="0" xfId="0" applyNumberFormat="1" applyFill="1" applyBorder="1" applyAlignment="1">
      <alignment horizontal="right"/>
    </xf>
    <xf numFmtId="4" fontId="0" fillId="0" borderId="0" xfId="0" applyNumberFormat="1"/>
    <xf numFmtId="4" fontId="0" fillId="3" borderId="0" xfId="0" applyNumberFormat="1" applyFill="1" applyAlignment="1">
      <alignment horizontal="right"/>
    </xf>
    <xf numFmtId="164" fontId="0" fillId="0" borderId="0" xfId="0" applyNumberFormat="1"/>
    <xf numFmtId="14" fontId="0" fillId="2" borderId="0" xfId="0" applyNumberFormat="1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3" borderId="0" xfId="0" applyFill="1"/>
    <xf numFmtId="164" fontId="0" fillId="0" borderId="0" xfId="0" applyNumberFormat="1" applyFill="1"/>
    <xf numFmtId="14" fontId="0" fillId="0" borderId="0" xfId="0" applyNumberFormat="1"/>
    <xf numFmtId="0" fontId="1" fillId="4" borderId="0" xfId="0" applyFont="1" applyFill="1"/>
    <xf numFmtId="9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aseline="0"/>
              <a:t>Courbe des taux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'Discount Rate'!$B$1:$Q$1</c:f>
              <c:numCache>
                <c:formatCode>General</c:formatCode>
                <c:ptCount val="16"/>
                <c:pt idx="0">
                  <c:v>0.5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15</c:v>
                </c:pt>
                <c:pt idx="12">
                  <c:v>20</c:v>
                </c:pt>
                <c:pt idx="13">
                  <c:v>25</c:v>
                </c:pt>
                <c:pt idx="14">
                  <c:v>30</c:v>
                </c:pt>
                <c:pt idx="15">
                  <c:v>35</c:v>
                </c:pt>
              </c:numCache>
            </c:numRef>
          </c:xVal>
          <c:yVal>
            <c:numRef>
              <c:f>'Discount Rate'!$B$2:$Q$2</c:f>
              <c:numCache>
                <c:formatCode>0.00%</c:formatCode>
                <c:ptCount val="16"/>
                <c:pt idx="0">
                  <c:v>4.1000000000000012E-3</c:v>
                </c:pt>
                <c:pt idx="1">
                  <c:v>4.316183531702291E-3</c:v>
                </c:pt>
                <c:pt idx="2">
                  <c:v>4.3816840370061155E-3</c:v>
                </c:pt>
                <c:pt idx="3">
                  <c:v>4.7088836145699458E-3</c:v>
                </c:pt>
                <c:pt idx="4">
                  <c:v>4.8533415979029222E-3</c:v>
                </c:pt>
                <c:pt idx="5">
                  <c:v>5.1785849313533798E-3</c:v>
                </c:pt>
                <c:pt idx="6">
                  <c:v>5.6083707795363397E-3</c:v>
                </c:pt>
                <c:pt idx="7">
                  <c:v>6.110573392344068E-3</c:v>
                </c:pt>
                <c:pt idx="8">
                  <c:v>6.6819305972359733E-3</c:v>
                </c:pt>
                <c:pt idx="9">
                  <c:v>7.2563763788476201E-3</c:v>
                </c:pt>
                <c:pt idx="10">
                  <c:v>7.8434222085439417E-3</c:v>
                </c:pt>
                <c:pt idx="11">
                  <c:v>1.0334169454902951E-2</c:v>
                </c:pt>
                <c:pt idx="12">
                  <c:v>1.1486890913197821E-2</c:v>
                </c:pt>
                <c:pt idx="13">
                  <c:v>1.1695428659857515E-2</c:v>
                </c:pt>
                <c:pt idx="14">
                  <c:v>1.1900000000000001E-2</c:v>
                </c:pt>
                <c:pt idx="15">
                  <c:v>1.2E-2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85-4C1E-8AFA-5A242600D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946336"/>
        <c:axId val="2063949248"/>
      </c:scatterChart>
      <c:valAx>
        <c:axId val="2063946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63949248"/>
        <c:crosses val="autoZero"/>
        <c:crossBetween val="midCat"/>
      </c:valAx>
      <c:valAx>
        <c:axId val="206394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63946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Courbe des taux</a:t>
            </a:r>
            <a:endParaRPr lang="fr-FR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EURIBOR!$B$1:$Q$1</c:f>
              <c:numCache>
                <c:formatCode>General</c:formatCode>
                <c:ptCount val="16"/>
                <c:pt idx="0">
                  <c:v>0.5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15</c:v>
                </c:pt>
                <c:pt idx="12">
                  <c:v>20</c:v>
                </c:pt>
                <c:pt idx="13">
                  <c:v>25</c:v>
                </c:pt>
                <c:pt idx="14">
                  <c:v>30</c:v>
                </c:pt>
                <c:pt idx="15">
                  <c:v>35</c:v>
                </c:pt>
              </c:numCache>
            </c:numRef>
          </c:xVal>
          <c:yVal>
            <c:numRef>
              <c:f>EURIBOR!$B$2:$Q$2</c:f>
              <c:numCache>
                <c:formatCode>0.00%</c:formatCode>
                <c:ptCount val="16"/>
                <c:pt idx="0">
                  <c:v>7.1000000000000013E-3</c:v>
                </c:pt>
                <c:pt idx="1">
                  <c:v>7.3161835317022911E-3</c:v>
                </c:pt>
                <c:pt idx="2">
                  <c:v>7.3816840370061155E-3</c:v>
                </c:pt>
                <c:pt idx="3">
                  <c:v>7.7088836145699459E-3</c:v>
                </c:pt>
                <c:pt idx="4">
                  <c:v>7.8533415979029214E-3</c:v>
                </c:pt>
                <c:pt idx="5">
                  <c:v>8.178584931353379E-3</c:v>
                </c:pt>
                <c:pt idx="6">
                  <c:v>8.6083707795363389E-3</c:v>
                </c:pt>
                <c:pt idx="7">
                  <c:v>9.1105733923440672E-3</c:v>
                </c:pt>
                <c:pt idx="8">
                  <c:v>9.6819305972359743E-3</c:v>
                </c:pt>
                <c:pt idx="9">
                  <c:v>1.0256376378847621E-2</c:v>
                </c:pt>
                <c:pt idx="10">
                  <c:v>1.0843422208543941E-2</c:v>
                </c:pt>
                <c:pt idx="11">
                  <c:v>1.3334169454902952E-2</c:v>
                </c:pt>
                <c:pt idx="12">
                  <c:v>1.4486890913197822E-2</c:v>
                </c:pt>
                <c:pt idx="13">
                  <c:v>1.4695428659857516E-2</c:v>
                </c:pt>
                <c:pt idx="14">
                  <c:v>1.4872029859525701E-2</c:v>
                </c:pt>
                <c:pt idx="15">
                  <c:v>1.4999999999999999E-2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73-4D88-AD2A-1660E0F2B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618608"/>
        <c:axId val="2070619024"/>
      </c:scatterChart>
      <c:valAx>
        <c:axId val="2070618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70619024"/>
        <c:crosses val="autoZero"/>
        <c:crossBetween val="midCat"/>
      </c:valAx>
      <c:valAx>
        <c:axId val="207061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70618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</xdr:row>
          <xdr:rowOff>0</xdr:rowOff>
        </xdr:from>
        <xdr:to>
          <xdr:col>9</xdr:col>
          <xdr:colOff>323850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Echéancier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19050</xdr:rowOff>
        </xdr:from>
        <xdr:to>
          <xdr:col>9</xdr:col>
          <xdr:colOff>314325</xdr:colOff>
          <xdr:row>4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0</xdr:rowOff>
        </xdr:from>
        <xdr:to>
          <xdr:col>9</xdr:col>
          <xdr:colOff>323850</xdr:colOff>
          <xdr:row>10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Flux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9525</xdr:rowOff>
        </xdr:from>
        <xdr:to>
          <xdr:col>9</xdr:col>
          <xdr:colOff>314325</xdr:colOff>
          <xdr:row>13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314325</xdr:colOff>
          <xdr:row>16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Flux Discount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</xdr:row>
          <xdr:rowOff>0</xdr:rowOff>
        </xdr:from>
        <xdr:to>
          <xdr:col>9</xdr:col>
          <xdr:colOff>323850</xdr:colOff>
          <xdr:row>19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Valorisation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9525</xdr:rowOff>
        </xdr:from>
        <xdr:to>
          <xdr:col>0</xdr:col>
          <xdr:colOff>2076450</xdr:colOff>
          <xdr:row>28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</xdr:row>
          <xdr:rowOff>9525</xdr:rowOff>
        </xdr:from>
        <xdr:to>
          <xdr:col>11</xdr:col>
          <xdr:colOff>323850</xdr:colOff>
          <xdr:row>4</xdr:row>
          <xdr:rowOff>171450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Taux Actuariel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5</xdr:row>
          <xdr:rowOff>0</xdr:rowOff>
        </xdr:from>
        <xdr:to>
          <xdr:col>11</xdr:col>
          <xdr:colOff>323850</xdr:colOff>
          <xdr:row>7</xdr:row>
          <xdr:rowOff>161925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5</xdr:row>
          <xdr:rowOff>0</xdr:rowOff>
        </xdr:from>
        <xdr:to>
          <xdr:col>16</xdr:col>
          <xdr:colOff>323850</xdr:colOff>
          <xdr:row>7</xdr:row>
          <xdr:rowOff>161925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Echeancier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</xdr:row>
          <xdr:rowOff>0</xdr:rowOff>
        </xdr:from>
        <xdr:to>
          <xdr:col>16</xdr:col>
          <xdr:colOff>314325</xdr:colOff>
          <xdr:row>10</xdr:row>
          <xdr:rowOff>161925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Flux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11</xdr:row>
          <xdr:rowOff>9525</xdr:rowOff>
        </xdr:from>
        <xdr:to>
          <xdr:col>16</xdr:col>
          <xdr:colOff>323850</xdr:colOff>
          <xdr:row>13</xdr:row>
          <xdr:rowOff>171450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14</xdr:row>
          <xdr:rowOff>9525</xdr:rowOff>
        </xdr:from>
        <xdr:to>
          <xdr:col>16</xdr:col>
          <xdr:colOff>323850</xdr:colOff>
          <xdr:row>16</xdr:row>
          <xdr:rowOff>171450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Flux Discount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16</xdr:row>
          <xdr:rowOff>180975</xdr:rowOff>
        </xdr:from>
        <xdr:to>
          <xdr:col>16</xdr:col>
          <xdr:colOff>323850</xdr:colOff>
          <xdr:row>19</xdr:row>
          <xdr:rowOff>152400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Valorisation Jambes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20</xdr:row>
          <xdr:rowOff>9525</xdr:rowOff>
        </xdr:from>
        <xdr:to>
          <xdr:col>16</xdr:col>
          <xdr:colOff>323850</xdr:colOff>
          <xdr:row>22</xdr:row>
          <xdr:rowOff>171450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Valorisation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0</xdr:col>
          <xdr:colOff>2200275</xdr:colOff>
          <xdr:row>31</xdr:row>
          <xdr:rowOff>9525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2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</xdr:row>
          <xdr:rowOff>0</xdr:rowOff>
        </xdr:from>
        <xdr:to>
          <xdr:col>16</xdr:col>
          <xdr:colOff>314325</xdr:colOff>
          <xdr:row>4</xdr:row>
          <xdr:rowOff>161925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752475</xdr:colOff>
          <xdr:row>8</xdr:row>
          <xdr:rowOff>0</xdr:rowOff>
        </xdr:from>
        <xdr:to>
          <xdr:col>17</xdr:col>
          <xdr:colOff>1066800</xdr:colOff>
          <xdr:row>10</xdr:row>
          <xdr:rowOff>161925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2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Taux Swap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</xdr:row>
          <xdr:rowOff>0</xdr:rowOff>
        </xdr:from>
        <xdr:to>
          <xdr:col>16</xdr:col>
          <xdr:colOff>323850</xdr:colOff>
          <xdr:row>4</xdr:row>
          <xdr:rowOff>161925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5</xdr:row>
          <xdr:rowOff>9525</xdr:rowOff>
        </xdr:from>
        <xdr:to>
          <xdr:col>16</xdr:col>
          <xdr:colOff>323850</xdr:colOff>
          <xdr:row>7</xdr:row>
          <xdr:rowOff>171450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3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Echeancier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8</xdr:row>
          <xdr:rowOff>0</xdr:rowOff>
        </xdr:from>
        <xdr:to>
          <xdr:col>16</xdr:col>
          <xdr:colOff>323850</xdr:colOff>
          <xdr:row>10</xdr:row>
          <xdr:rowOff>161925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3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Flux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11</xdr:row>
          <xdr:rowOff>0</xdr:rowOff>
        </xdr:from>
        <xdr:to>
          <xdr:col>16</xdr:col>
          <xdr:colOff>314325</xdr:colOff>
          <xdr:row>13</xdr:row>
          <xdr:rowOff>161925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3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14</xdr:row>
          <xdr:rowOff>9525</xdr:rowOff>
        </xdr:from>
        <xdr:to>
          <xdr:col>16</xdr:col>
          <xdr:colOff>323850</xdr:colOff>
          <xdr:row>16</xdr:row>
          <xdr:rowOff>171450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3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Flux Discount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17</xdr:row>
          <xdr:rowOff>9525</xdr:rowOff>
        </xdr:from>
        <xdr:to>
          <xdr:col>16</xdr:col>
          <xdr:colOff>314325</xdr:colOff>
          <xdr:row>19</xdr:row>
          <xdr:rowOff>171450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3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Valorisation jambes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20</xdr:row>
          <xdr:rowOff>0</xdr:rowOff>
        </xdr:from>
        <xdr:to>
          <xdr:col>16</xdr:col>
          <xdr:colOff>323850</xdr:colOff>
          <xdr:row>22</xdr:row>
          <xdr:rowOff>161925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3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Valorisation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9525</xdr:rowOff>
        </xdr:from>
        <xdr:to>
          <xdr:col>0</xdr:col>
          <xdr:colOff>2200275</xdr:colOff>
          <xdr:row>34</xdr:row>
          <xdr:rowOff>19050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3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176212</xdr:rowOff>
    </xdr:from>
    <xdr:to>
      <xdr:col>5</xdr:col>
      <xdr:colOff>209550</xdr:colOff>
      <xdr:row>19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9E9173-98A5-A714-A5F9-B904929BF3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185737</xdr:rowOff>
    </xdr:from>
    <xdr:to>
      <xdr:col>5</xdr:col>
      <xdr:colOff>438150</xdr:colOff>
      <xdr:row>20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E1583F-3A33-BA3D-51E6-8CB48110FB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ctrlProp" Target="../ctrlProps/ctrlProp10.xml"/><Relationship Id="rId7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47B9E-2CE1-43F4-B392-BA039BE17FA8}">
  <sheetPr codeName="Feuil7"/>
  <dimension ref="C4:D11"/>
  <sheetViews>
    <sheetView tabSelected="1" workbookViewId="0">
      <selection activeCell="K9" sqref="K9"/>
    </sheetView>
  </sheetViews>
  <sheetFormatPr defaultColWidth="11.42578125" defaultRowHeight="15" x14ac:dyDescent="0.25"/>
  <sheetData>
    <row r="4" spans="3:4" x14ac:dyDescent="0.25">
      <c r="C4" t="s">
        <v>89</v>
      </c>
      <c r="D4" t="s">
        <v>99</v>
      </c>
    </row>
    <row r="5" spans="3:4" x14ac:dyDescent="0.25">
      <c r="C5" t="s">
        <v>90</v>
      </c>
      <c r="D5" t="s">
        <v>104</v>
      </c>
    </row>
    <row r="6" spans="3:4" x14ac:dyDescent="0.25">
      <c r="C6" t="s">
        <v>91</v>
      </c>
      <c r="D6" t="s">
        <v>100</v>
      </c>
    </row>
    <row r="7" spans="3:4" x14ac:dyDescent="0.25">
      <c r="C7" t="s">
        <v>92</v>
      </c>
      <c r="D7" t="s">
        <v>105</v>
      </c>
    </row>
    <row r="8" spans="3:4" x14ac:dyDescent="0.25">
      <c r="C8" t="s">
        <v>93</v>
      </c>
      <c r="D8" t="s">
        <v>106</v>
      </c>
    </row>
    <row r="10" spans="3:4" x14ac:dyDescent="0.25">
      <c r="C10" t="s">
        <v>107</v>
      </c>
      <c r="D10" t="s">
        <v>108</v>
      </c>
    </row>
    <row r="11" spans="3:4" x14ac:dyDescent="0.25">
      <c r="C11" t="s">
        <v>109</v>
      </c>
      <c r="D11" t="s">
        <v>110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DE1A-DFB9-43BC-9D47-3E55D22ECC76}">
  <sheetPr codeName="Feuil1"/>
  <dimension ref="A1:T38"/>
  <sheetViews>
    <sheetView workbookViewId="0">
      <selection activeCell="L14" sqref="L14"/>
    </sheetView>
  </sheetViews>
  <sheetFormatPr defaultColWidth="11.42578125" defaultRowHeight="15" x14ac:dyDescent="0.25"/>
  <cols>
    <col min="1" max="1" width="31.28515625" bestFit="1" customWidth="1"/>
    <col min="2" max="2" width="16.28515625" customWidth="1"/>
    <col min="3" max="3" width="23.7109375" bestFit="1" customWidth="1"/>
    <col min="4" max="4" width="17.7109375" customWidth="1"/>
    <col min="5" max="5" width="12.42578125" bestFit="1" customWidth="1"/>
    <col min="7" max="7" width="15.140625" bestFit="1" customWidth="1"/>
    <col min="13" max="13" width="28.5703125" bestFit="1" customWidth="1"/>
  </cols>
  <sheetData>
    <row r="1" spans="1:14" x14ac:dyDescent="0.25">
      <c r="A1" s="19" t="s">
        <v>2</v>
      </c>
      <c r="B1" s="31" t="s">
        <v>94</v>
      </c>
      <c r="C1" s="30" t="s">
        <v>95</v>
      </c>
      <c r="D1" s="29" t="s">
        <v>12</v>
      </c>
      <c r="E1" s="30" t="s">
        <v>13</v>
      </c>
      <c r="F1" s="30" t="s">
        <v>14</v>
      </c>
      <c r="G1" s="30" t="s">
        <v>71</v>
      </c>
    </row>
    <row r="2" spans="1:14" x14ac:dyDescent="0.25">
      <c r="A2" s="20" t="s">
        <v>0</v>
      </c>
      <c r="B2" s="35">
        <v>119.53302553891601</v>
      </c>
      <c r="C2" s="35">
        <v>119.04663449103639</v>
      </c>
      <c r="D2" s="44">
        <v>42458</v>
      </c>
      <c r="E2" s="35">
        <v>0</v>
      </c>
      <c r="F2" s="40">
        <v>0</v>
      </c>
      <c r="G2" s="35">
        <v>0</v>
      </c>
      <c r="M2" s="45" t="s">
        <v>102</v>
      </c>
    </row>
    <row r="3" spans="1:14" x14ac:dyDescent="0.25">
      <c r="A3" s="7" t="s">
        <v>39</v>
      </c>
      <c r="B3" s="9">
        <v>44713</v>
      </c>
      <c r="D3" s="44">
        <v>42639</v>
      </c>
      <c r="E3" s="35">
        <v>0</v>
      </c>
      <c r="F3" s="40">
        <v>0</v>
      </c>
      <c r="G3" s="35">
        <v>0</v>
      </c>
      <c r="M3" s="7" t="s">
        <v>88</v>
      </c>
      <c r="N3" s="42">
        <v>1000</v>
      </c>
    </row>
    <row r="4" spans="1:14" x14ac:dyDescent="0.25">
      <c r="A4" s="21" t="s">
        <v>1</v>
      </c>
      <c r="B4" s="22" t="s">
        <v>21</v>
      </c>
      <c r="D4" s="44">
        <v>42821</v>
      </c>
      <c r="E4" s="35">
        <v>0</v>
      </c>
      <c r="F4" s="40">
        <v>0</v>
      </c>
      <c r="G4" s="35">
        <v>0</v>
      </c>
      <c r="M4" s="7" t="s">
        <v>87</v>
      </c>
      <c r="N4" s="42">
        <v>0.01</v>
      </c>
    </row>
    <row r="5" spans="1:14" x14ac:dyDescent="0.25">
      <c r="A5" s="21" t="s">
        <v>3</v>
      </c>
      <c r="B5" s="22" t="s">
        <v>18</v>
      </c>
      <c r="D5" s="44">
        <v>43004</v>
      </c>
      <c r="E5" s="35">
        <v>0</v>
      </c>
      <c r="F5" s="40">
        <v>0</v>
      </c>
      <c r="G5" s="35">
        <v>0</v>
      </c>
    </row>
    <row r="6" spans="1:14" x14ac:dyDescent="0.25">
      <c r="A6" s="21" t="s">
        <v>69</v>
      </c>
      <c r="B6" s="34">
        <v>100</v>
      </c>
      <c r="D6" s="44">
        <v>43185</v>
      </c>
      <c r="E6" s="35">
        <v>0</v>
      </c>
      <c r="F6" s="40">
        <v>0</v>
      </c>
      <c r="G6" s="35">
        <v>0</v>
      </c>
    </row>
    <row r="7" spans="1:14" x14ac:dyDescent="0.25">
      <c r="A7" s="21" t="s">
        <v>4</v>
      </c>
      <c r="B7" s="23">
        <v>42273</v>
      </c>
      <c r="D7" s="44">
        <v>43369</v>
      </c>
      <c r="E7" s="35">
        <v>0</v>
      </c>
      <c r="F7" s="40">
        <v>0</v>
      </c>
      <c r="G7" s="35">
        <v>0</v>
      </c>
    </row>
    <row r="8" spans="1:14" x14ac:dyDescent="0.25">
      <c r="A8" s="21" t="s">
        <v>5</v>
      </c>
      <c r="B8" s="23">
        <v>47752</v>
      </c>
      <c r="D8" s="44">
        <v>43550</v>
      </c>
      <c r="E8" s="35">
        <v>0</v>
      </c>
      <c r="F8" s="40">
        <v>0</v>
      </c>
      <c r="G8" s="35">
        <v>0</v>
      </c>
    </row>
    <row r="9" spans="1:14" x14ac:dyDescent="0.25">
      <c r="A9" s="21" t="s">
        <v>6</v>
      </c>
      <c r="B9" s="24" t="s">
        <v>10</v>
      </c>
      <c r="D9" s="44">
        <v>43734</v>
      </c>
      <c r="E9" s="35">
        <v>0</v>
      </c>
      <c r="F9" s="40">
        <v>0</v>
      </c>
      <c r="G9" s="35">
        <v>0</v>
      </c>
    </row>
    <row r="10" spans="1:14" x14ac:dyDescent="0.25">
      <c r="A10" s="21" t="s">
        <v>19</v>
      </c>
      <c r="B10" s="28">
        <f>IF(B9 = "Amortissable",1/(YEAR(B8)-YEAR(B7)),0)</f>
        <v>0</v>
      </c>
      <c r="D10" s="44">
        <v>43916</v>
      </c>
      <c r="E10" s="35">
        <v>0</v>
      </c>
      <c r="F10" s="40">
        <v>0</v>
      </c>
      <c r="G10" s="35">
        <v>0</v>
      </c>
    </row>
    <row r="11" spans="1:14" x14ac:dyDescent="0.25">
      <c r="A11" s="21"/>
      <c r="B11" s="28"/>
      <c r="D11" s="44">
        <v>44102</v>
      </c>
      <c r="E11" s="35">
        <v>0</v>
      </c>
      <c r="F11" s="40">
        <v>0</v>
      </c>
      <c r="G11" s="35">
        <v>0</v>
      </c>
    </row>
    <row r="12" spans="1:14" x14ac:dyDescent="0.25">
      <c r="A12" s="20" t="s">
        <v>7</v>
      </c>
      <c r="B12" s="25"/>
      <c r="D12" s="44">
        <v>44281</v>
      </c>
      <c r="E12" s="35">
        <v>0</v>
      </c>
      <c r="F12" s="40">
        <v>0</v>
      </c>
      <c r="G12" s="35">
        <v>0</v>
      </c>
    </row>
    <row r="13" spans="1:14" x14ac:dyDescent="0.25">
      <c r="A13" s="21" t="s">
        <v>11</v>
      </c>
      <c r="B13" s="26">
        <v>2</v>
      </c>
      <c r="D13" s="44">
        <v>44466</v>
      </c>
      <c r="E13" s="35">
        <v>0</v>
      </c>
      <c r="F13" s="40">
        <v>0</v>
      </c>
      <c r="G13" s="35">
        <v>0</v>
      </c>
    </row>
    <row r="14" spans="1:14" x14ac:dyDescent="0.25">
      <c r="A14" s="21" t="s">
        <v>22</v>
      </c>
      <c r="B14" s="27">
        <v>0.02</v>
      </c>
      <c r="D14" s="44">
        <v>44648</v>
      </c>
      <c r="E14" s="35">
        <v>0</v>
      </c>
      <c r="F14" s="40">
        <v>0</v>
      </c>
      <c r="G14" s="35">
        <v>0</v>
      </c>
    </row>
    <row r="15" spans="1:14" x14ac:dyDescent="0.25">
      <c r="A15" s="21" t="s">
        <v>23</v>
      </c>
      <c r="B15" s="22" t="s">
        <v>67</v>
      </c>
      <c r="D15" s="44">
        <v>44830</v>
      </c>
      <c r="E15" s="35">
        <v>1.3636859764939064</v>
      </c>
      <c r="F15" s="40">
        <v>0.9986866166684748</v>
      </c>
      <c r="G15" s="35">
        <v>1.3618949340629447</v>
      </c>
    </row>
    <row r="16" spans="1:14" x14ac:dyDescent="0.25">
      <c r="A16" s="21" t="s">
        <v>82</v>
      </c>
      <c r="B16" s="37">
        <v>0.3571428571428571</v>
      </c>
      <c r="D16" s="44">
        <v>45012</v>
      </c>
      <c r="E16" s="35">
        <v>1.3662830784317062</v>
      </c>
      <c r="F16" s="40">
        <v>0.99652281778997898</v>
      </c>
      <c r="G16" s="35">
        <v>1.3615322632175306</v>
      </c>
    </row>
    <row r="17" spans="1:20" x14ac:dyDescent="0.25">
      <c r="A17" s="7" t="s">
        <v>15</v>
      </c>
      <c r="B17">
        <v>30</v>
      </c>
      <c r="D17" s="44">
        <v>45195</v>
      </c>
      <c r="E17" s="35">
        <v>1.3768167055578826</v>
      </c>
      <c r="F17" s="40">
        <v>0.99432633658886693</v>
      </c>
      <c r="G17" s="35">
        <v>1.3690051109917221</v>
      </c>
    </row>
    <row r="18" spans="1:20" x14ac:dyDescent="0.25">
      <c r="A18" s="20" t="s">
        <v>8</v>
      </c>
      <c r="D18" s="44">
        <v>45377</v>
      </c>
      <c r="E18" s="35">
        <v>1.3998542749478047</v>
      </c>
      <c r="F18" s="40">
        <v>0.99211697748433392</v>
      </c>
      <c r="G18" s="35">
        <v>1.3888191921797397</v>
      </c>
    </row>
    <row r="19" spans="1:20" x14ac:dyDescent="0.25">
      <c r="A19" s="21" t="s">
        <v>26</v>
      </c>
      <c r="B19" s="41">
        <v>7.4516578642917404</v>
      </c>
      <c r="C19" s="4" t="s">
        <v>83</v>
      </c>
      <c r="D19" s="44">
        <v>45561</v>
      </c>
      <c r="E19" s="35">
        <v>1.4313278895458188</v>
      </c>
      <c r="F19" s="40">
        <v>0.98958253150141773</v>
      </c>
      <c r="G19" s="35">
        <v>1.416417076345333</v>
      </c>
    </row>
    <row r="20" spans="1:20" x14ac:dyDescent="0.25">
      <c r="A20" s="21" t="s">
        <v>81</v>
      </c>
      <c r="B20" s="2">
        <v>6.7138671875000026E-3</v>
      </c>
      <c r="C20" s="35">
        <v>119.53994499528842</v>
      </c>
      <c r="D20" s="44">
        <v>45742</v>
      </c>
      <c r="E20" s="35">
        <v>1.395513683902204</v>
      </c>
      <c r="F20" s="40">
        <v>0.9869394974151251</v>
      </c>
      <c r="G20" s="35">
        <v>1.377287573826371</v>
      </c>
    </row>
    <row r="21" spans="1:20" x14ac:dyDescent="0.25">
      <c r="A21" s="21" t="s">
        <v>58</v>
      </c>
      <c r="B21" s="8" t="s">
        <v>59</v>
      </c>
      <c r="D21" s="44">
        <v>45926</v>
      </c>
      <c r="E21" s="35">
        <v>1.4284803831022532</v>
      </c>
      <c r="F21" s="40">
        <v>0.98438474453467872</v>
      </c>
      <c r="G21" s="35">
        <v>1.4061742969929116</v>
      </c>
    </row>
    <row r="22" spans="1:20" x14ac:dyDescent="0.25">
      <c r="A22" s="21" t="s">
        <v>30</v>
      </c>
      <c r="B22" s="8" t="s">
        <v>35</v>
      </c>
      <c r="D22" s="44">
        <v>46107</v>
      </c>
      <c r="E22" s="35">
        <v>1.4359179562680426</v>
      </c>
      <c r="F22" s="40">
        <v>0.98178309313937784</v>
      </c>
      <c r="G22" s="35">
        <v>1.4097599725992127</v>
      </c>
    </row>
    <row r="23" spans="1:20" x14ac:dyDescent="0.25">
      <c r="A23" s="21" t="s">
        <v>72</v>
      </c>
      <c r="B23" s="8" t="s">
        <v>73</v>
      </c>
      <c r="D23" s="44">
        <v>46293</v>
      </c>
      <c r="E23" s="35">
        <v>1.5061727469158954</v>
      </c>
      <c r="F23" s="40">
        <v>0.97880589522305583</v>
      </c>
      <c r="G23" s="35">
        <v>1.4742507639055822</v>
      </c>
    </row>
    <row r="24" spans="1:20" x14ac:dyDescent="0.25">
      <c r="A24" s="38" t="s">
        <v>84</v>
      </c>
      <c r="B24" s="8" t="s">
        <v>86</v>
      </c>
      <c r="D24" s="44">
        <v>46472</v>
      </c>
      <c r="E24" s="35">
        <v>1.4809626307835098</v>
      </c>
      <c r="F24" s="40">
        <v>0.97566519602514001</v>
      </c>
      <c r="G24" s="35">
        <v>1.4449236954693001</v>
      </c>
      <c r="P24" s="1"/>
      <c r="Q24" s="1"/>
      <c r="R24" s="1"/>
      <c r="S24" s="1"/>
      <c r="T24" s="1"/>
    </row>
    <row r="25" spans="1:20" x14ac:dyDescent="0.25">
      <c r="A25" s="1"/>
      <c r="D25" s="44">
        <v>46657</v>
      </c>
      <c r="E25" s="35">
        <v>1.5634216061428003</v>
      </c>
      <c r="F25" s="40">
        <v>0.97211107757298787</v>
      </c>
      <c r="G25" s="35">
        <v>1.5198194622483692</v>
      </c>
    </row>
    <row r="26" spans="1:20" x14ac:dyDescent="0.25">
      <c r="A26" s="1"/>
      <c r="D26" s="44">
        <v>46839</v>
      </c>
      <c r="E26" s="35">
        <v>1.571513716208804</v>
      </c>
      <c r="F26" s="40">
        <v>0.96831541891514827</v>
      </c>
      <c r="G26" s="35">
        <v>1.5217209624416295</v>
      </c>
    </row>
    <row r="27" spans="1:20" x14ac:dyDescent="0.25">
      <c r="A27" s="1"/>
      <c r="D27" s="44">
        <v>47022</v>
      </c>
      <c r="E27" s="35">
        <v>1.615683815412932</v>
      </c>
      <c r="F27" s="40">
        <v>0.96419047541087144</v>
      </c>
      <c r="G27" s="35">
        <v>1.5578269460966456</v>
      </c>
    </row>
    <row r="28" spans="1:20" x14ac:dyDescent="0.25">
      <c r="A28" s="1"/>
      <c r="D28" s="44">
        <v>47203</v>
      </c>
      <c r="E28" s="35">
        <v>1.6409759668026338</v>
      </c>
      <c r="F28" s="40">
        <v>0.95978958913746348</v>
      </c>
      <c r="G28" s="35">
        <v>1.5749916489619518</v>
      </c>
    </row>
    <row r="29" spans="1:20" x14ac:dyDescent="0.25">
      <c r="A29" s="1"/>
      <c r="D29" s="44">
        <v>47387</v>
      </c>
      <c r="E29" s="35">
        <v>1.7022474337551095</v>
      </c>
      <c r="F29" s="40">
        <v>0.95491932299229187</v>
      </c>
      <c r="G29" s="35">
        <v>1.6255089670067953</v>
      </c>
    </row>
    <row r="30" spans="1:20" x14ac:dyDescent="0.25">
      <c r="A30" s="1"/>
      <c r="D30" s="44">
        <v>47568</v>
      </c>
      <c r="E30" s="35">
        <v>1.7026195108481927</v>
      </c>
      <c r="F30" s="40">
        <v>0.94983416274728572</v>
      </c>
      <c r="G30" s="35">
        <v>1.6172061775636863</v>
      </c>
    </row>
    <row r="31" spans="1:20" x14ac:dyDescent="0.25">
      <c r="A31" s="39"/>
      <c r="B31" s="39"/>
      <c r="D31" s="44">
        <v>47752</v>
      </c>
      <c r="E31" s="35">
        <v>101.76154881966237</v>
      </c>
      <c r="F31" s="40">
        <v>0.94442240325293381</v>
      </c>
      <c r="G31" s="35">
        <v>96.105886495006274</v>
      </c>
    </row>
    <row r="32" spans="1:20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Calendar">
                <anchor moveWithCells="1">
                  <from>
                    <xdr:col>8</xdr:col>
                    <xdr:colOff>9525</xdr:colOff>
                    <xdr:row>5</xdr:row>
                    <xdr:rowOff>0</xdr:rowOff>
                  </from>
                  <to>
                    <xdr:col>9</xdr:col>
                    <xdr:colOff>323850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nd_Clear">
                <anchor moveWithCells="1">
                  <from>
                    <xdr:col>8</xdr:col>
                    <xdr:colOff>0</xdr:colOff>
                    <xdr:row>2</xdr:row>
                    <xdr:rowOff>19050</xdr:rowOff>
                  </from>
                  <to>
                    <xdr:col>9</xdr:col>
                    <xdr:colOff>314325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ond_Flux">
                <anchor moveWithCells="1">
                  <from>
                    <xdr:col>8</xdr:col>
                    <xdr:colOff>9525</xdr:colOff>
                    <xdr:row>8</xdr:row>
                    <xdr:rowOff>0</xdr:rowOff>
                  </from>
                  <to>
                    <xdr:col>9</xdr:col>
                    <xdr:colOff>323850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iscount.DiscountFactor">
                <anchor moveWithCells="1">
                  <from>
                    <xdr:col>8</xdr:col>
                    <xdr:colOff>0</xdr:colOff>
                    <xdr:row>11</xdr:row>
                    <xdr:rowOff>9525</xdr:rowOff>
                  </from>
                  <to>
                    <xdr:col>9</xdr:col>
                    <xdr:colOff>314325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DiscountFlux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314325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omputePrice">
                <anchor moveWithCells="1">
                  <from>
                    <xdr:col>8</xdr:col>
                    <xdr:colOff>9525</xdr:colOff>
                    <xdr:row>17</xdr:row>
                    <xdr:rowOff>0</xdr:rowOff>
                  </from>
                  <to>
                    <xdr:col>9</xdr:col>
                    <xdr:colOff>323850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omputeAll">
                <anchor moveWithCells="1">
                  <from>
                    <xdr:col>0</xdr:col>
                    <xdr:colOff>0</xdr:colOff>
                    <xdr:row>24</xdr:row>
                    <xdr:rowOff>9525</xdr:rowOff>
                  </from>
                  <to>
                    <xdr:col>0</xdr:col>
                    <xdr:colOff>2076450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1" name="Button 46">
              <controlPr defaultSize="0" print="0" autoFill="0" autoPict="0" macro="[0]!FindActuarialRate">
                <anchor moveWithCells="1">
                  <from>
                    <xdr:col>10</xdr:col>
                    <xdr:colOff>9525</xdr:colOff>
                    <xdr:row>2</xdr:row>
                    <xdr:rowOff>9525</xdr:rowOff>
                  </from>
                  <to>
                    <xdr:col>11</xdr:col>
                    <xdr:colOff>323850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2" name="Button 52">
              <controlPr defaultSize="0" print="0" autoFill="0" autoPict="0" macro="[0]!ComputeDuration">
                <anchor moveWithCells="1">
                  <from>
                    <xdr:col>10</xdr:col>
                    <xdr:colOff>9525</xdr:colOff>
                    <xdr:row>5</xdr:row>
                    <xdr:rowOff>0</xdr:rowOff>
                  </from>
                  <to>
                    <xdr:col>11</xdr:col>
                    <xdr:colOff>323850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FEC7D55E-418B-49EA-BCF3-3842B5D14C51}">
          <x14:formula1>
            <xm:f>Utilitaires!$A$2:$A$3</xm:f>
          </x14:formula1>
          <xm:sqref>B5</xm:sqref>
        </x14:dataValidation>
        <x14:dataValidation type="list" allowBlank="1" showInputMessage="1" showErrorMessage="1" xr:uid="{BFDE593D-B74B-4A82-A6D4-C4220CFB605B}">
          <x14:formula1>
            <xm:f>Utilitaires!$B$2:$B$3</xm:f>
          </x14:formula1>
          <xm:sqref>B9</xm:sqref>
        </x14:dataValidation>
        <x14:dataValidation type="list" allowBlank="1" showInputMessage="1" showErrorMessage="1" xr:uid="{07AEF931-C518-4497-8E05-CD1E8E38FE11}">
          <x14:formula1>
            <xm:f>Utilitaires!$C$2:$C$14</xm:f>
          </x14:formula1>
          <xm:sqref>B13</xm:sqref>
        </x14:dataValidation>
        <x14:dataValidation type="list" allowBlank="1" showInputMessage="1" showErrorMessage="1" xr:uid="{22C4AB7F-621E-4C4E-9D16-F9A951F506F6}">
          <x14:formula1>
            <xm:f>Utilitaires!$F$2:$F$3</xm:f>
          </x14:formula1>
          <xm:sqref>B15</xm:sqref>
        </x14:dataValidation>
        <x14:dataValidation type="list" allowBlank="1" showInputMessage="1" showErrorMessage="1" xr:uid="{E27F67BE-702A-490A-8B34-EE759B920122}">
          <x14:formula1>
            <xm:f>Utilitaires!$G$2:$G$3</xm:f>
          </x14:formula1>
          <xm:sqref>B21</xm:sqref>
        </x14:dataValidation>
        <x14:dataValidation type="list" allowBlank="1" showInputMessage="1" showErrorMessage="1" xr:uid="{E0A11BDD-B24F-4B99-86F2-F88395A6C6EE}">
          <x14:formula1>
            <xm:f>Utilitaires!$H$2:$H$3</xm:f>
          </x14:formula1>
          <xm:sqref>B22</xm:sqref>
        </x14:dataValidation>
        <x14:dataValidation type="list" allowBlank="1" showInputMessage="1" showErrorMessage="1" xr:uid="{EAA3D22B-AF4A-4924-B3E1-F911EBF46736}">
          <x14:formula1>
            <xm:f>Utilitaires!$J$2:$J$3</xm:f>
          </x14:formula1>
          <xm:sqref>B23</xm:sqref>
        </x14:dataValidation>
        <x14:dataValidation type="list" allowBlank="1" showInputMessage="1" showErrorMessage="1" xr:uid="{7F9B0BDC-107E-46C9-964A-D7ADBF177482}">
          <x14:formula1>
            <xm:f>Utilitaires!$K$2:$K$3</xm:f>
          </x14:formula1>
          <xm:sqref>B24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5AA81-96DE-4F99-AA9D-20D131E933DB}">
  <sheetPr codeName="Feuil2"/>
  <dimension ref="A1:CS62"/>
  <sheetViews>
    <sheetView workbookViewId="0">
      <selection activeCell="C31" sqref="C31"/>
    </sheetView>
  </sheetViews>
  <sheetFormatPr defaultColWidth="11.42578125" defaultRowHeight="15" x14ac:dyDescent="0.25"/>
  <cols>
    <col min="1" max="1" width="33.140625" bestFit="1" customWidth="1"/>
    <col min="2" max="2" width="15.7109375" customWidth="1"/>
    <col min="3" max="3" width="11.42578125" bestFit="1" customWidth="1"/>
    <col min="4" max="4" width="15.140625" bestFit="1" customWidth="1"/>
    <col min="6" max="6" width="18.85546875" customWidth="1"/>
    <col min="7" max="7" width="18.7109375" customWidth="1"/>
    <col min="8" max="8" width="16" customWidth="1"/>
    <col min="9" max="9" width="12" bestFit="1" customWidth="1"/>
    <col min="10" max="10" width="16.85546875" customWidth="1"/>
    <col min="11" max="11" width="11.7109375" customWidth="1"/>
    <col min="13" max="13" width="15.140625" bestFit="1" customWidth="1"/>
    <col min="14" max="14" width="12.140625" bestFit="1" customWidth="1"/>
    <col min="18" max="18" width="28.5703125" bestFit="1" customWidth="1"/>
  </cols>
  <sheetData>
    <row r="1" spans="1:97" ht="18" customHeight="1" x14ac:dyDescent="0.25">
      <c r="A1" s="5" t="s">
        <v>2</v>
      </c>
      <c r="B1" s="30" t="s">
        <v>96</v>
      </c>
      <c r="C1" s="29" t="s">
        <v>98</v>
      </c>
      <c r="D1" s="29" t="s">
        <v>12</v>
      </c>
      <c r="E1" s="29" t="s">
        <v>13</v>
      </c>
      <c r="F1" s="29" t="s">
        <v>14</v>
      </c>
      <c r="G1" s="29" t="s">
        <v>71</v>
      </c>
      <c r="H1" s="29" t="s">
        <v>68</v>
      </c>
      <c r="I1" s="29" t="s">
        <v>97</v>
      </c>
      <c r="J1" s="29" t="s">
        <v>12</v>
      </c>
      <c r="K1" s="29" t="s">
        <v>13</v>
      </c>
      <c r="L1" s="29" t="s">
        <v>14</v>
      </c>
      <c r="M1" s="29" t="s">
        <v>71</v>
      </c>
      <c r="N1" s="29" t="s">
        <v>68</v>
      </c>
    </row>
    <row r="2" spans="1:97" x14ac:dyDescent="0.25">
      <c r="A2" s="6" t="s">
        <v>0</v>
      </c>
      <c r="B2" s="35">
        <v>-12.698600835444266</v>
      </c>
      <c r="C2" s="35"/>
      <c r="D2" s="44">
        <v>42639</v>
      </c>
      <c r="E2" s="35">
        <v>0</v>
      </c>
      <c r="F2" s="40">
        <v>0</v>
      </c>
      <c r="G2" s="35">
        <v>0</v>
      </c>
      <c r="H2" s="35">
        <v>20.432800839688426</v>
      </c>
      <c r="J2" s="44">
        <v>42458</v>
      </c>
      <c r="K2" s="35">
        <v>0</v>
      </c>
      <c r="L2" s="40">
        <v>0</v>
      </c>
      <c r="M2" s="35">
        <v>0</v>
      </c>
      <c r="N2" s="35">
        <v>7.7342000042441601</v>
      </c>
      <c r="R2" s="45" t="s">
        <v>103</v>
      </c>
    </row>
    <row r="3" spans="1:97" x14ac:dyDescent="0.25">
      <c r="A3" s="7" t="s">
        <v>39</v>
      </c>
      <c r="B3" s="9">
        <v>44398</v>
      </c>
      <c r="D3" s="44">
        <v>43004</v>
      </c>
      <c r="E3" s="35">
        <v>0</v>
      </c>
      <c r="F3" s="40">
        <v>0</v>
      </c>
      <c r="G3" s="35">
        <v>0</v>
      </c>
      <c r="J3" s="44">
        <v>42639</v>
      </c>
      <c r="K3" s="35">
        <v>0</v>
      </c>
      <c r="L3" s="40">
        <v>0</v>
      </c>
      <c r="M3" s="35">
        <v>0</v>
      </c>
      <c r="R3" s="7" t="s">
        <v>101</v>
      </c>
      <c r="S3" s="43">
        <v>1.9055175781250006E-2</v>
      </c>
      <c r="CS3" s="37"/>
    </row>
    <row r="4" spans="1:97" x14ac:dyDescent="0.25">
      <c r="A4" s="7" t="s">
        <v>27</v>
      </c>
      <c r="B4" s="8" t="s">
        <v>21</v>
      </c>
      <c r="D4" s="44">
        <v>43369</v>
      </c>
      <c r="E4" s="35">
        <v>0</v>
      </c>
      <c r="F4" s="40">
        <v>0</v>
      </c>
      <c r="G4" s="35">
        <v>0</v>
      </c>
      <c r="J4" s="44">
        <v>42821</v>
      </c>
      <c r="K4" s="35">
        <v>0</v>
      </c>
      <c r="L4" s="40">
        <v>0</v>
      </c>
      <c r="M4" s="35">
        <v>0</v>
      </c>
      <c r="R4" s="7" t="s">
        <v>88</v>
      </c>
      <c r="S4" s="42">
        <v>100</v>
      </c>
    </row>
    <row r="5" spans="1:97" x14ac:dyDescent="0.25">
      <c r="A5" s="7" t="s">
        <v>32</v>
      </c>
      <c r="B5" s="8" t="s">
        <v>33</v>
      </c>
      <c r="D5" s="44">
        <v>43734</v>
      </c>
      <c r="E5" s="35">
        <v>0</v>
      </c>
      <c r="F5" s="40">
        <v>0</v>
      </c>
      <c r="G5" s="35">
        <v>0</v>
      </c>
      <c r="J5" s="44">
        <v>43004</v>
      </c>
      <c r="K5" s="35">
        <v>0</v>
      </c>
      <c r="L5" s="40">
        <v>0</v>
      </c>
      <c r="M5" s="35">
        <v>0</v>
      </c>
      <c r="R5" s="7" t="s">
        <v>87</v>
      </c>
      <c r="S5" s="42">
        <v>1E-3</v>
      </c>
    </row>
    <row r="6" spans="1:97" x14ac:dyDescent="0.25">
      <c r="A6" s="7" t="s">
        <v>70</v>
      </c>
      <c r="B6" s="36">
        <v>100</v>
      </c>
      <c r="D6" s="44">
        <v>44102</v>
      </c>
      <c r="E6" s="35">
        <v>0</v>
      </c>
      <c r="F6" s="40">
        <v>0</v>
      </c>
      <c r="G6" s="35">
        <v>0</v>
      </c>
      <c r="J6" s="44">
        <v>43185</v>
      </c>
      <c r="K6" s="35">
        <v>0</v>
      </c>
      <c r="L6" s="40">
        <v>0</v>
      </c>
      <c r="M6" s="35">
        <v>0</v>
      </c>
    </row>
    <row r="7" spans="1:97" x14ac:dyDescent="0.25">
      <c r="A7" s="7" t="s">
        <v>4</v>
      </c>
      <c r="B7" s="23">
        <v>42273</v>
      </c>
      <c r="D7" s="44">
        <v>44466</v>
      </c>
      <c r="E7" s="35">
        <v>1.9945205479452055</v>
      </c>
      <c r="F7" s="40">
        <v>1.0010997823998173</v>
      </c>
      <c r="G7" s="35">
        <v>1.9967140865399098</v>
      </c>
      <c r="J7" s="44">
        <v>43369</v>
      </c>
      <c r="K7" s="35">
        <v>0</v>
      </c>
      <c r="L7" s="40">
        <v>0</v>
      </c>
      <c r="M7" s="35">
        <v>0</v>
      </c>
    </row>
    <row r="8" spans="1:97" x14ac:dyDescent="0.25">
      <c r="A8" s="7" t="s">
        <v>5</v>
      </c>
      <c r="B8" s="23">
        <v>47752</v>
      </c>
      <c r="D8" s="44">
        <v>44830</v>
      </c>
      <c r="E8" s="35">
        <v>1.9945205479452055</v>
      </c>
      <c r="F8" s="40">
        <v>1.0070074517895118</v>
      </c>
      <c r="G8" s="35">
        <v>2.0084970545281222</v>
      </c>
      <c r="J8" s="44">
        <v>43550</v>
      </c>
      <c r="K8" s="35">
        <v>0</v>
      </c>
      <c r="L8" s="40">
        <v>0</v>
      </c>
      <c r="M8" s="35">
        <v>0</v>
      </c>
    </row>
    <row r="9" spans="1:97" x14ac:dyDescent="0.25">
      <c r="A9" s="7"/>
      <c r="B9" s="4"/>
      <c r="D9" s="44">
        <v>45195</v>
      </c>
      <c r="E9" s="35">
        <v>2</v>
      </c>
      <c r="F9" s="40">
        <v>1.0126872493153125</v>
      </c>
      <c r="G9" s="35">
        <v>2.025374498630625</v>
      </c>
      <c r="J9" s="44">
        <v>43734</v>
      </c>
      <c r="K9" s="35">
        <v>0</v>
      </c>
      <c r="L9" s="40">
        <v>0</v>
      </c>
      <c r="M9" s="35">
        <v>0</v>
      </c>
    </row>
    <row r="10" spans="1:97" x14ac:dyDescent="0.25">
      <c r="A10" s="6" t="s">
        <v>98</v>
      </c>
      <c r="B10" s="4"/>
      <c r="D10" s="44">
        <v>45561</v>
      </c>
      <c r="E10" s="35">
        <v>2.0054794520547947</v>
      </c>
      <c r="F10" s="40">
        <v>1.0180128566740141</v>
      </c>
      <c r="G10" s="35">
        <v>2.0416038659873381</v>
      </c>
      <c r="J10" s="44">
        <v>43916</v>
      </c>
      <c r="K10" s="35">
        <v>0</v>
      </c>
      <c r="L10" s="40">
        <v>0</v>
      </c>
      <c r="M10" s="35">
        <v>0</v>
      </c>
    </row>
    <row r="11" spans="1:97" x14ac:dyDescent="0.25">
      <c r="A11" s="7" t="s">
        <v>3</v>
      </c>
      <c r="B11" s="8" t="s">
        <v>9</v>
      </c>
      <c r="D11" s="44">
        <v>45926</v>
      </c>
      <c r="E11" s="35">
        <v>2</v>
      </c>
      <c r="F11" s="40">
        <v>1.0228431991689655</v>
      </c>
      <c r="G11" s="35">
        <v>2.045686398337931</v>
      </c>
      <c r="J11" s="44">
        <v>44102</v>
      </c>
      <c r="K11" s="35">
        <v>0</v>
      </c>
      <c r="L11" s="40">
        <v>0</v>
      </c>
      <c r="M11" s="35">
        <v>0</v>
      </c>
    </row>
    <row r="12" spans="1:97" x14ac:dyDescent="0.25">
      <c r="A12" s="7" t="s">
        <v>28</v>
      </c>
      <c r="B12" s="18">
        <v>0.02</v>
      </c>
      <c r="C12" s="4"/>
      <c r="D12" s="44">
        <v>46293</v>
      </c>
      <c r="E12" s="35">
        <v>2.010958904109589</v>
      </c>
      <c r="F12" s="40">
        <v>1.0273241688437396</v>
      </c>
      <c r="G12" s="35">
        <v>2.0659066847433007</v>
      </c>
      <c r="J12" s="44">
        <v>44281</v>
      </c>
      <c r="K12" s="35">
        <v>0</v>
      </c>
      <c r="L12" s="40">
        <v>0</v>
      </c>
      <c r="M12" s="35">
        <v>0</v>
      </c>
    </row>
    <row r="13" spans="1:97" x14ac:dyDescent="0.25">
      <c r="A13" s="7" t="s">
        <v>31</v>
      </c>
      <c r="B13" s="12">
        <v>1</v>
      </c>
      <c r="D13" s="44">
        <v>46657</v>
      </c>
      <c r="E13" s="35">
        <v>1.9945205479452055</v>
      </c>
      <c r="F13" s="40">
        <v>1.0305234232568339</v>
      </c>
      <c r="G13" s="35">
        <v>2.0554001428245892</v>
      </c>
      <c r="J13" s="44">
        <v>44466</v>
      </c>
      <c r="K13" s="35">
        <v>0.25849315068493156</v>
      </c>
      <c r="L13" s="40">
        <v>1.0010997823998173</v>
      </c>
      <c r="M13" s="35">
        <v>0.25877743690252819</v>
      </c>
    </row>
    <row r="14" spans="1:97" x14ac:dyDescent="0.25">
      <c r="A14" s="14" t="s">
        <v>30</v>
      </c>
      <c r="B14" s="10" t="s">
        <v>35</v>
      </c>
      <c r="D14" s="44">
        <v>47022</v>
      </c>
      <c r="E14" s="35">
        <v>2</v>
      </c>
      <c r="F14" s="40">
        <v>1.0323994328440302</v>
      </c>
      <c r="G14" s="35">
        <v>2.0647988656880605</v>
      </c>
      <c r="J14" s="44">
        <v>44648</v>
      </c>
      <c r="K14" s="35">
        <v>0.25430136986301377</v>
      </c>
      <c r="L14" s="40">
        <v>1.0040492721283527</v>
      </c>
      <c r="M14" s="35">
        <v>0.25533110531220199</v>
      </c>
    </row>
    <row r="15" spans="1:97" x14ac:dyDescent="0.25">
      <c r="A15" s="7" t="s">
        <v>34</v>
      </c>
      <c r="B15" s="8" t="s">
        <v>43</v>
      </c>
      <c r="D15" s="44">
        <v>47387</v>
      </c>
      <c r="E15" s="35">
        <v>2</v>
      </c>
      <c r="F15" s="40">
        <v>1.0327484373345175</v>
      </c>
      <c r="G15" s="35">
        <v>2.065496874669035</v>
      </c>
      <c r="J15" s="44">
        <v>44830</v>
      </c>
      <c r="K15" s="35">
        <v>0.26669967512404336</v>
      </c>
      <c r="L15" s="40">
        <v>1.0070074517895118</v>
      </c>
      <c r="M15" s="35">
        <v>0.26856856023975356</v>
      </c>
    </row>
    <row r="16" spans="1:97" x14ac:dyDescent="0.25">
      <c r="A16" s="7" t="s">
        <v>15</v>
      </c>
      <c r="B16">
        <v>15</v>
      </c>
      <c r="D16" s="44">
        <v>47752</v>
      </c>
      <c r="E16" s="35">
        <v>2</v>
      </c>
      <c r="F16" s="40">
        <v>1.0316611838697589</v>
      </c>
      <c r="G16" s="35">
        <v>2.0633223677395178</v>
      </c>
      <c r="J16" s="44">
        <v>45012</v>
      </c>
      <c r="K16" s="35">
        <v>0.26929677706184313</v>
      </c>
      <c r="L16" s="40">
        <v>1.0098485003868678</v>
      </c>
      <c r="M16" s="35">
        <v>0.27194894647491896</v>
      </c>
    </row>
    <row r="17" spans="1:13" x14ac:dyDescent="0.25">
      <c r="A17" s="6" t="s">
        <v>97</v>
      </c>
      <c r="B17" s="4"/>
      <c r="J17" s="44">
        <v>45195</v>
      </c>
      <c r="K17" s="35">
        <v>0.2738030069277454</v>
      </c>
      <c r="L17" s="40">
        <v>1.0126872493153125</v>
      </c>
      <c r="M17" s="35">
        <v>0.27727681393991993</v>
      </c>
    </row>
    <row r="18" spans="1:13" x14ac:dyDescent="0.25">
      <c r="A18" s="7" t="s">
        <v>3</v>
      </c>
      <c r="B18" s="8" t="s">
        <v>18</v>
      </c>
      <c r="J18" s="44">
        <v>45377</v>
      </c>
      <c r="K18" s="35">
        <v>0.30286797357794176</v>
      </c>
      <c r="L18" s="40">
        <v>1.0154880190059852</v>
      </c>
      <c r="M18" s="35">
        <v>0.30755879850902113</v>
      </c>
    </row>
    <row r="19" spans="1:13" x14ac:dyDescent="0.25">
      <c r="A19" s="7" t="s">
        <v>28</v>
      </c>
      <c r="B19" s="18">
        <v>0.01</v>
      </c>
      <c r="J19" s="44">
        <v>45561</v>
      </c>
      <c r="K19" s="35">
        <v>0.32228679365540763</v>
      </c>
      <c r="L19" s="40">
        <v>1.0180128566740141</v>
      </c>
      <c r="M19" s="35">
        <v>0.32809209947745005</v>
      </c>
    </row>
    <row r="20" spans="1:13" x14ac:dyDescent="0.25">
      <c r="A20" s="7" t="s">
        <v>31</v>
      </c>
      <c r="B20" s="12">
        <v>2</v>
      </c>
      <c r="J20" s="44">
        <v>45742</v>
      </c>
      <c r="K20" s="35">
        <v>0.30455477979261542</v>
      </c>
      <c r="L20" s="40">
        <v>1.0203411383448948</v>
      </c>
      <c r="M20" s="35">
        <v>0.31074977070197596</v>
      </c>
    </row>
    <row r="21" spans="1:13" x14ac:dyDescent="0.25">
      <c r="A21" s="14" t="s">
        <v>30</v>
      </c>
      <c r="B21" s="8" t="s">
        <v>35</v>
      </c>
      <c r="J21" s="44">
        <v>45926</v>
      </c>
      <c r="K21" s="35">
        <v>0.31943928721184228</v>
      </c>
      <c r="L21" s="40">
        <v>1.0228431991689655</v>
      </c>
      <c r="M21" s="35">
        <v>0.32673630247201474</v>
      </c>
    </row>
    <row r="22" spans="1:13" x14ac:dyDescent="0.25">
      <c r="A22" s="7" t="s">
        <v>29</v>
      </c>
      <c r="B22" s="8" t="s">
        <v>67</v>
      </c>
      <c r="J22" s="44">
        <v>46107</v>
      </c>
      <c r="K22" s="35">
        <v>0.34495905215845368</v>
      </c>
      <c r="L22" s="40">
        <v>1.0252112448244159</v>
      </c>
      <c r="M22" s="35">
        <v>0.35365589927681895</v>
      </c>
    </row>
    <row r="23" spans="1:13" x14ac:dyDescent="0.25">
      <c r="A23" s="7" t="s">
        <v>15</v>
      </c>
      <c r="B23">
        <v>30</v>
      </c>
      <c r="J23" s="44">
        <v>46293</v>
      </c>
      <c r="K23" s="35">
        <v>0.38507685650493612</v>
      </c>
      <c r="L23" s="40">
        <v>1.0273241688437396</v>
      </c>
      <c r="M23" s="35">
        <v>0.39559876154989349</v>
      </c>
    </row>
    <row r="24" spans="1:13" x14ac:dyDescent="0.25">
      <c r="A24" s="21" t="s">
        <v>58</v>
      </c>
      <c r="B24" s="8" t="s">
        <v>59</v>
      </c>
      <c r="J24" s="44">
        <v>46472</v>
      </c>
      <c r="K24" s="35">
        <v>0.40205852119446883</v>
      </c>
      <c r="L24" s="40">
        <v>1.0290620675634898</v>
      </c>
      <c r="M24" s="35">
        <v>0.41374317310189929</v>
      </c>
    </row>
    <row r="25" spans="1:13" x14ac:dyDescent="0.25">
      <c r="A25" s="21" t="s">
        <v>72</v>
      </c>
      <c r="B25" s="8" t="s">
        <v>73</v>
      </c>
      <c r="J25" s="44">
        <v>46657</v>
      </c>
      <c r="K25" s="35">
        <v>0.44835311299211567</v>
      </c>
      <c r="L25" s="40">
        <v>1.0305234232568339</v>
      </c>
      <c r="M25" s="35">
        <v>0.46203838482849308</v>
      </c>
    </row>
    <row r="26" spans="1:13" x14ac:dyDescent="0.25">
      <c r="A26" s="38" t="s">
        <v>84</v>
      </c>
      <c r="B26" s="8" t="s">
        <v>86</v>
      </c>
      <c r="J26" s="44">
        <v>46839</v>
      </c>
      <c r="K26" s="35">
        <v>0.4745274148389414</v>
      </c>
      <c r="L26" s="40">
        <v>1.0316309096173577</v>
      </c>
      <c r="M26" s="35">
        <v>0.48953714860867037</v>
      </c>
    </row>
    <row r="27" spans="1:13" x14ac:dyDescent="0.25">
      <c r="J27" s="44">
        <v>47022</v>
      </c>
      <c r="K27" s="35">
        <v>0.5126701167827955</v>
      </c>
      <c r="L27" s="40">
        <v>1.0323994328440302</v>
      </c>
      <c r="M27" s="35">
        <v>0.52928033780264083</v>
      </c>
    </row>
    <row r="28" spans="1:13" x14ac:dyDescent="0.25">
      <c r="J28" s="44">
        <v>47203</v>
      </c>
      <c r="K28" s="35">
        <v>0.55001706269304418</v>
      </c>
      <c r="L28" s="40">
        <v>1.0327960772561784</v>
      </c>
      <c r="M28" s="35">
        <v>0.56805546477334157</v>
      </c>
    </row>
    <row r="29" spans="1:13" x14ac:dyDescent="0.25">
      <c r="J29" s="44">
        <v>47387</v>
      </c>
      <c r="K29" s="35">
        <v>0.59320633786469779</v>
      </c>
      <c r="L29" s="40">
        <v>1.0327484373345175</v>
      </c>
      <c r="M29" s="35">
        <v>0.61263291844669843</v>
      </c>
    </row>
    <row r="30" spans="1:13" x14ac:dyDescent="0.25">
      <c r="J30" s="44">
        <v>47568</v>
      </c>
      <c r="K30" s="35">
        <v>0.61166060673860401</v>
      </c>
      <c r="L30" s="40">
        <v>1.0323554992401711</v>
      </c>
      <c r="M30" s="35">
        <v>0.63145119103517755</v>
      </c>
    </row>
    <row r="31" spans="1:13" x14ac:dyDescent="0.25">
      <c r="A31" s="1"/>
      <c r="J31" s="44">
        <v>47752</v>
      </c>
      <c r="K31" s="35">
        <v>0.6525077237719592</v>
      </c>
      <c r="L31" s="40">
        <v>1.0316611838697589</v>
      </c>
      <c r="M31" s="35">
        <v>0.6731668907907411</v>
      </c>
    </row>
    <row r="32" spans="1:13" x14ac:dyDescent="0.25">
      <c r="A32" s="1"/>
    </row>
    <row r="33" spans="1:2" x14ac:dyDescent="0.25">
      <c r="A33" s="35"/>
      <c r="B33" s="35"/>
    </row>
    <row r="34" spans="1:2" x14ac:dyDescent="0.25">
      <c r="A34" s="1"/>
    </row>
    <row r="35" spans="1:2" x14ac:dyDescent="0.25">
      <c r="A35" s="1"/>
    </row>
    <row r="36" spans="1:2" x14ac:dyDescent="0.25">
      <c r="A36" s="1"/>
    </row>
    <row r="37" spans="1:2" x14ac:dyDescent="0.25">
      <c r="A37" s="1"/>
    </row>
    <row r="38" spans="1:2" x14ac:dyDescent="0.25">
      <c r="A38" s="1"/>
    </row>
    <row r="39" spans="1:2" x14ac:dyDescent="0.25">
      <c r="A39" s="1"/>
    </row>
    <row r="40" spans="1:2" x14ac:dyDescent="0.25">
      <c r="A40" s="1"/>
    </row>
    <row r="41" spans="1:2" x14ac:dyDescent="0.25">
      <c r="A41" s="1"/>
    </row>
    <row r="42" spans="1:2" x14ac:dyDescent="0.25">
      <c r="A42" s="1"/>
    </row>
    <row r="43" spans="1:2" x14ac:dyDescent="0.25">
      <c r="A43" s="1"/>
    </row>
    <row r="44" spans="1:2" x14ac:dyDescent="0.25">
      <c r="A44" s="1"/>
    </row>
    <row r="45" spans="1:2" x14ac:dyDescent="0.25">
      <c r="A45" s="1"/>
    </row>
    <row r="46" spans="1:2" x14ac:dyDescent="0.25">
      <c r="A46" s="1"/>
    </row>
    <row r="47" spans="1:2" x14ac:dyDescent="0.25">
      <c r="A47" s="1"/>
    </row>
    <row r="48" spans="1:2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3" name="Button 7">
              <controlPr defaultSize="0" print="0" autoFill="0" autoPict="0" macro="[0]!CreateCalendar">
                <anchor moveWithCells="1">
                  <from>
                    <xdr:col>15</xdr:col>
                    <xdr:colOff>9525</xdr:colOff>
                    <xdr:row>5</xdr:row>
                    <xdr:rowOff>0</xdr:rowOff>
                  </from>
                  <to>
                    <xdr:col>16</xdr:col>
                    <xdr:colOff>323850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4" name="Button 10">
              <controlPr defaultSize="0" print="0" autoFill="0" autoPict="0" macro="[0]!IRS_Flux">
                <anchor mov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314325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5" name="Button 12">
              <controlPr defaultSize="0" print="0" autoFill="0" autoPict="0" macro="[0]!DiscountFactor">
                <anchor moveWithCells="1">
                  <from>
                    <xdr:col>15</xdr:col>
                    <xdr:colOff>9525</xdr:colOff>
                    <xdr:row>11</xdr:row>
                    <xdr:rowOff>9525</xdr:rowOff>
                  </from>
                  <to>
                    <xdr:col>16</xdr:col>
                    <xdr:colOff>323850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DiscountFlux">
                <anchor moveWithCells="1">
                  <from>
                    <xdr:col>15</xdr:col>
                    <xdr:colOff>9525</xdr:colOff>
                    <xdr:row>14</xdr:row>
                    <xdr:rowOff>9525</xdr:rowOff>
                  </from>
                  <to>
                    <xdr:col>16</xdr:col>
                    <xdr:colOff>323850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7" name="Button 14">
              <controlPr defaultSize="0" print="0" autoFill="0" autoPict="0" macro="[0]!PriceLeg">
                <anchor moveWithCells="1">
                  <from>
                    <xdr:col>15</xdr:col>
                    <xdr:colOff>9525</xdr:colOff>
                    <xdr:row>16</xdr:row>
                    <xdr:rowOff>180975</xdr:rowOff>
                  </from>
                  <to>
                    <xdr:col>16</xdr:col>
                    <xdr:colOff>323850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8" name="Button 17">
              <controlPr defaultSize="0" print="0" autoFill="0" autoPict="0" macro="[0]!ComputePrice">
                <anchor moveWithCells="1">
                  <from>
                    <xdr:col>15</xdr:col>
                    <xdr:colOff>9525</xdr:colOff>
                    <xdr:row>20</xdr:row>
                    <xdr:rowOff>9525</xdr:rowOff>
                  </from>
                  <to>
                    <xdr:col>16</xdr:col>
                    <xdr:colOff>323850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9" name="Button 18">
              <controlPr defaultSize="0" print="0" autoFill="0" autoPict="0" macro="[0]!ComputeAll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0</xdr:col>
                    <xdr:colOff>2200275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0" name="Button 19">
              <controlPr defaultSize="0" print="0" autoFill="0" autoPict="0" macro="[0]!IRS_Clear">
                <anchor mov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314325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1" name="Button 24">
              <controlPr defaultSize="0" print="0" autoFill="0" autoPict="0" macro="[0]!ComputeSwapRate">
                <anchor moveWithCells="1">
                  <from>
                    <xdr:col>16</xdr:col>
                    <xdr:colOff>752475</xdr:colOff>
                    <xdr:row>8</xdr:row>
                    <xdr:rowOff>0</xdr:rowOff>
                  </from>
                  <to>
                    <xdr:col>17</xdr:col>
                    <xdr:colOff>1066800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74AD1BF8-1713-4215-8649-27BAA3CF0EC6}">
          <x14:formula1>
            <xm:f>Utilitaires!$C$3:$C$14</xm:f>
          </x14:formula1>
          <xm:sqref>B13 B20</xm:sqref>
        </x14:dataValidation>
        <x14:dataValidation type="list" allowBlank="1" showInputMessage="1" showErrorMessage="1" xr:uid="{EEDBE3D4-7F2E-417F-9B0C-55A62AB74093}">
          <x14:formula1>
            <xm:f>Utilitaires!$A$2:$A$3</xm:f>
          </x14:formula1>
          <xm:sqref>B11 B18</xm:sqref>
        </x14:dataValidation>
        <x14:dataValidation type="list" allowBlank="1" showInputMessage="1" showErrorMessage="1" xr:uid="{CDE6DC3B-2E97-4161-9A7D-F5B50CB31660}">
          <x14:formula1>
            <xm:f>Utilitaires!$D$2:$D$3</xm:f>
          </x14:formula1>
          <xm:sqref>B5</xm:sqref>
        </x14:dataValidation>
        <x14:dataValidation type="list" allowBlank="1" showInputMessage="1" showErrorMessage="1" xr:uid="{E06E8BEA-06EC-43A9-BA8C-E9CED3FC97A6}">
          <x14:formula1>
            <xm:f>Utilitaires!$F$2:$F$3</xm:f>
          </x14:formula1>
          <xm:sqref>B22 B15</xm:sqref>
        </x14:dataValidation>
        <x14:dataValidation type="list" allowBlank="1" showInputMessage="1" showErrorMessage="1" xr:uid="{AE259C04-1A8B-4973-BAA9-5DDF85403C29}">
          <x14:formula1>
            <xm:f>Utilitaires!$G$2:$G$3</xm:f>
          </x14:formula1>
          <xm:sqref>B24</xm:sqref>
        </x14:dataValidation>
        <x14:dataValidation type="list" allowBlank="1" showInputMessage="1" showErrorMessage="1" xr:uid="{6376E3AB-8DC0-4202-81F4-8B2DC53070CB}">
          <x14:formula1>
            <xm:f>Utilitaires!$H$2:$H$3</xm:f>
          </x14:formula1>
          <xm:sqref>B14 B21</xm:sqref>
        </x14:dataValidation>
        <x14:dataValidation type="list" allowBlank="1" showInputMessage="1" showErrorMessage="1" xr:uid="{28029F33-BD90-4B61-A2C1-9D2C0C4240E1}">
          <x14:formula1>
            <xm:f>Utilitaires!$J$2:$J$3</xm:f>
          </x14:formula1>
          <xm:sqref>B25</xm:sqref>
        </x14:dataValidation>
        <x14:dataValidation type="list" allowBlank="1" showInputMessage="1" showErrorMessage="1" xr:uid="{1362C69D-AC50-4431-B9F4-45DF2C715780}">
          <x14:formula1>
            <xm:f>Utilitaires!$K$2:$K$3</xm:f>
          </x14:formula1>
          <xm:sqref>B26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ECF87-A51D-4F5B-AC26-04308A2224E0}">
  <sheetPr codeName="Feuil3"/>
  <dimension ref="A1:N36"/>
  <sheetViews>
    <sheetView workbookViewId="0">
      <selection activeCell="E22" sqref="E22"/>
    </sheetView>
  </sheetViews>
  <sheetFormatPr defaultColWidth="11.42578125" defaultRowHeight="15" x14ac:dyDescent="0.25"/>
  <cols>
    <col min="1" max="1" width="33.140625" bestFit="1" customWidth="1"/>
    <col min="2" max="2" width="16.28515625" bestFit="1" customWidth="1"/>
    <col min="4" max="4" width="15.140625" bestFit="1" customWidth="1"/>
    <col min="5" max="5" width="12.140625" customWidth="1"/>
    <col min="6" max="6" width="17.7109375" customWidth="1"/>
    <col min="7" max="7" width="15.140625" bestFit="1" customWidth="1"/>
    <col min="8" max="8" width="14.5703125" customWidth="1"/>
    <col min="9" max="9" width="16.28515625" customWidth="1"/>
    <col min="10" max="10" width="15.42578125" customWidth="1"/>
    <col min="12" max="12" width="12" bestFit="1" customWidth="1"/>
    <col min="13" max="13" width="15.140625" bestFit="1" customWidth="1"/>
  </cols>
  <sheetData>
    <row r="1" spans="1:14" ht="15" customHeight="1" x14ac:dyDescent="0.25">
      <c r="A1" s="5" t="s">
        <v>2</v>
      </c>
      <c r="B1" s="6" t="s">
        <v>96</v>
      </c>
      <c r="C1" s="29" t="s">
        <v>98</v>
      </c>
      <c r="D1" s="29" t="s">
        <v>12</v>
      </c>
      <c r="E1" s="29" t="s">
        <v>13</v>
      </c>
      <c r="F1" s="29" t="s">
        <v>14</v>
      </c>
      <c r="G1" s="29" t="s">
        <v>71</v>
      </c>
      <c r="H1" s="29" t="s">
        <v>68</v>
      </c>
      <c r="I1" s="29" t="s">
        <v>97</v>
      </c>
      <c r="J1" s="29" t="s">
        <v>12</v>
      </c>
      <c r="K1" s="29" t="s">
        <v>13</v>
      </c>
      <c r="L1" s="29" t="s">
        <v>14</v>
      </c>
      <c r="M1" s="29" t="s">
        <v>71</v>
      </c>
      <c r="N1" s="29" t="s">
        <v>68</v>
      </c>
    </row>
    <row r="2" spans="1:14" x14ac:dyDescent="0.25">
      <c r="A2" s="6" t="s">
        <v>0</v>
      </c>
      <c r="B2" s="35">
        <v>-2.3371422890938476</v>
      </c>
      <c r="C2" s="35"/>
      <c r="D2" s="1">
        <v>44102</v>
      </c>
      <c r="E2" s="35">
        <v>0</v>
      </c>
      <c r="F2" s="40">
        <v>0</v>
      </c>
      <c r="G2" s="35">
        <v>0</v>
      </c>
      <c r="H2" s="35">
        <v>19.840307372780973</v>
      </c>
      <c r="J2" s="1">
        <v>44102</v>
      </c>
      <c r="K2" s="35">
        <v>0</v>
      </c>
      <c r="L2" s="40">
        <v>0</v>
      </c>
      <c r="M2" s="35">
        <v>0</v>
      </c>
      <c r="N2" s="35">
        <v>17.503165083687126</v>
      </c>
    </row>
    <row r="3" spans="1:14" x14ac:dyDescent="0.25">
      <c r="A3" s="14" t="s">
        <v>39</v>
      </c>
      <c r="B3" s="9">
        <f ca="1">TODAY()</f>
        <v>44713</v>
      </c>
      <c r="D3" s="1">
        <v>44281</v>
      </c>
      <c r="E3" s="35">
        <v>0</v>
      </c>
      <c r="F3" s="40">
        <v>0</v>
      </c>
      <c r="G3" s="35">
        <v>0</v>
      </c>
      <c r="J3" s="1">
        <v>44281</v>
      </c>
      <c r="K3" s="35">
        <v>0</v>
      </c>
      <c r="L3" s="40">
        <v>0</v>
      </c>
      <c r="M3" s="35">
        <v>0</v>
      </c>
    </row>
    <row r="4" spans="1:14" x14ac:dyDescent="0.25">
      <c r="A4" s="7" t="s">
        <v>27</v>
      </c>
      <c r="B4" s="8" t="s">
        <v>21</v>
      </c>
      <c r="D4" s="1">
        <v>44466</v>
      </c>
      <c r="E4" s="35">
        <v>1.5205479452054795</v>
      </c>
      <c r="F4" s="40">
        <v>1.0010997823998173</v>
      </c>
      <c r="G4" s="35">
        <v>1.5222202170736949</v>
      </c>
      <c r="J4" s="1">
        <v>44466</v>
      </c>
      <c r="K4" s="35">
        <v>-0.11516375777341309</v>
      </c>
      <c r="L4" s="40">
        <v>1.0010997823998173</v>
      </c>
      <c r="M4" s="35">
        <v>-0.11529041284730912</v>
      </c>
    </row>
    <row r="5" spans="1:14" x14ac:dyDescent="0.25">
      <c r="A5" s="7" t="s">
        <v>32</v>
      </c>
      <c r="B5" s="8" t="s">
        <v>33</v>
      </c>
      <c r="D5" s="1">
        <v>44648</v>
      </c>
      <c r="E5" s="35">
        <v>1.4958904109589042</v>
      </c>
      <c r="F5" s="40">
        <v>1.0039844863029468</v>
      </c>
      <c r="G5" s="35">
        <v>1.5018507658120794</v>
      </c>
      <c r="J5" s="1">
        <v>44648</v>
      </c>
      <c r="K5" s="35">
        <v>-0.10153101995036076</v>
      </c>
      <c r="L5" s="40">
        <v>1.0039844863029468</v>
      </c>
      <c r="M5" s="35">
        <v>-0.10193556890867719</v>
      </c>
    </row>
    <row r="6" spans="1:14" x14ac:dyDescent="0.25">
      <c r="A6" s="7" t="s">
        <v>70</v>
      </c>
      <c r="B6" s="36">
        <v>100</v>
      </c>
      <c r="D6" s="1">
        <v>44830</v>
      </c>
      <c r="E6" s="35">
        <v>1.4958904109589042</v>
      </c>
      <c r="F6" s="40">
        <v>1.00675886511844</v>
      </c>
      <c r="G6" s="35">
        <v>1.5060009324785433</v>
      </c>
      <c r="J6" s="1">
        <v>44830</v>
      </c>
      <c r="K6" s="35">
        <v>-0.1052858343407765</v>
      </c>
      <c r="L6" s="40">
        <v>1.00675886511844</v>
      </c>
      <c r="M6" s="35">
        <v>-0.10599744709396823</v>
      </c>
    </row>
    <row r="7" spans="1:14" x14ac:dyDescent="0.25">
      <c r="A7" s="7" t="s">
        <v>4</v>
      </c>
      <c r="B7" s="9">
        <v>43887</v>
      </c>
      <c r="D7" s="1">
        <v>45012</v>
      </c>
      <c r="E7" s="35">
        <v>1.4958904109589042</v>
      </c>
      <c r="F7" s="40">
        <v>1.009579416197228</v>
      </c>
      <c r="G7" s="35">
        <v>1.5102201677909219</v>
      </c>
      <c r="J7" s="1">
        <v>45012</v>
      </c>
      <c r="K7" s="35">
        <v>-8.1263886694761769E-2</v>
      </c>
      <c r="L7" s="40">
        <v>1.009579416197228</v>
      </c>
      <c r="M7" s="35">
        <v>-8.2042347287215267E-2</v>
      </c>
    </row>
    <row r="8" spans="1:14" x14ac:dyDescent="0.25">
      <c r="A8" s="7" t="s">
        <v>5</v>
      </c>
      <c r="B8" s="9">
        <v>46809</v>
      </c>
      <c r="D8" s="1">
        <v>45195</v>
      </c>
      <c r="E8" s="35">
        <v>1.504109589041096</v>
      </c>
      <c r="F8" s="40">
        <v>1.0121804762920596</v>
      </c>
      <c r="G8" s="35">
        <v>1.5224303602310707</v>
      </c>
      <c r="J8" s="1">
        <v>45195</v>
      </c>
      <c r="K8" s="35">
        <v>-5.6857792247204969E-2</v>
      </c>
      <c r="L8" s="40">
        <v>1.0121804762920596</v>
      </c>
      <c r="M8" s="35">
        <v>-5.7550347237690903E-2</v>
      </c>
    </row>
    <row r="9" spans="1:14" x14ac:dyDescent="0.25">
      <c r="A9" s="7" t="s">
        <v>42</v>
      </c>
      <c r="B9" s="4" t="s">
        <v>38</v>
      </c>
      <c r="D9" s="1">
        <v>45377</v>
      </c>
      <c r="E9" s="35">
        <v>1.4958904109589042</v>
      </c>
      <c r="F9" s="40">
        <v>1.014522002062501</v>
      </c>
      <c r="G9" s="35">
        <v>1.5176137345921248</v>
      </c>
      <c r="J9" s="1">
        <v>45377</v>
      </c>
      <c r="K9" s="35">
        <v>-6.2814704009324485E-2</v>
      </c>
      <c r="L9" s="40">
        <v>1.014522002062501</v>
      </c>
      <c r="M9" s="35">
        <v>-6.372689927050329E-2</v>
      </c>
    </row>
    <row r="10" spans="1:14" x14ac:dyDescent="0.25">
      <c r="A10" s="14"/>
      <c r="B10" s="4"/>
      <c r="D10" s="1">
        <v>45561</v>
      </c>
      <c r="E10" s="35">
        <v>1.5123287671232877</v>
      </c>
      <c r="F10" s="40">
        <v>1.0169592027354779</v>
      </c>
      <c r="G10" s="35">
        <v>1.5379766572876268</v>
      </c>
      <c r="J10" s="1">
        <v>45561</v>
      </c>
      <c r="K10" s="35">
        <v>-6.5017823324012444E-2</v>
      </c>
      <c r="L10" s="40">
        <v>1.0169592027354779</v>
      </c>
      <c r="M10" s="35">
        <v>-6.6120473771183852E-2</v>
      </c>
    </row>
    <row r="11" spans="1:14" x14ac:dyDescent="0.25">
      <c r="A11" s="6" t="s">
        <v>37</v>
      </c>
      <c r="B11" s="4"/>
      <c r="D11" s="1">
        <v>45742</v>
      </c>
      <c r="E11" s="35">
        <v>1.4876712328767123</v>
      </c>
      <c r="F11" s="40">
        <v>1.019377548954274</v>
      </c>
      <c r="G11" s="35">
        <v>1.516498655019646</v>
      </c>
      <c r="J11" s="1">
        <v>45742</v>
      </c>
      <c r="K11" s="35">
        <v>-3.6238860228316308E-2</v>
      </c>
      <c r="L11" s="40">
        <v>1.019377548954274</v>
      </c>
      <c r="M11" s="35">
        <v>-3.6941080516437602E-2</v>
      </c>
    </row>
    <row r="12" spans="1:14" x14ac:dyDescent="0.25">
      <c r="A12" s="7" t="s">
        <v>1</v>
      </c>
      <c r="B12" s="11" t="s">
        <v>21</v>
      </c>
      <c r="D12" s="1">
        <v>45926</v>
      </c>
      <c r="E12" s="35">
        <v>1.5123287671232877</v>
      </c>
      <c r="F12" s="40">
        <v>1.0215539756741179</v>
      </c>
      <c r="G12" s="35">
        <v>1.5449254645811317</v>
      </c>
      <c r="J12" s="1">
        <v>45926</v>
      </c>
      <c r="K12" s="35">
        <v>-5.2086087634437232E-3</v>
      </c>
      <c r="L12" s="40">
        <v>1.0215539756741179</v>
      </c>
      <c r="M12" s="35">
        <v>-5.3208749900269863E-3</v>
      </c>
    </row>
    <row r="13" spans="1:14" x14ac:dyDescent="0.25">
      <c r="A13" s="15" t="s">
        <v>4</v>
      </c>
      <c r="B13" s="9">
        <v>42273</v>
      </c>
      <c r="D13" s="1">
        <v>46107</v>
      </c>
      <c r="E13" s="35">
        <v>1.4876712328767123</v>
      </c>
      <c r="F13" s="40">
        <v>1.0233809745662865</v>
      </c>
      <c r="G13" s="35">
        <v>1.5224544361355989</v>
      </c>
      <c r="J13" s="1">
        <v>46107</v>
      </c>
      <c r="K13" s="35">
        <v>2.5349544245748135E-2</v>
      </c>
      <c r="L13" s="40">
        <v>1.0233809745662865</v>
      </c>
      <c r="M13" s="35">
        <v>2.5942241295024926E-2</v>
      </c>
    </row>
    <row r="14" spans="1:14" x14ac:dyDescent="0.25">
      <c r="A14" s="15" t="s">
        <v>5</v>
      </c>
      <c r="B14" s="10" t="s">
        <v>40</v>
      </c>
      <c r="D14" s="1">
        <v>46293</v>
      </c>
      <c r="E14" s="35">
        <v>1.5287671232876712</v>
      </c>
      <c r="F14" s="40">
        <v>1.0249388347573538</v>
      </c>
      <c r="G14" s="35">
        <v>1.5668927939578174</v>
      </c>
      <c r="J14" s="1">
        <v>46293</v>
      </c>
      <c r="K14" s="35">
        <v>5.9879366106346796E-2</v>
      </c>
      <c r="L14" s="40">
        <v>1.0249388347573538</v>
      </c>
      <c r="M14" s="35">
        <v>6.1372687723048068E-2</v>
      </c>
    </row>
    <row r="15" spans="1:14" x14ac:dyDescent="0.25">
      <c r="A15" s="15" t="s">
        <v>3</v>
      </c>
      <c r="B15" s="12" t="s">
        <v>9</v>
      </c>
      <c r="D15" s="1">
        <v>46472</v>
      </c>
      <c r="E15" s="35">
        <v>1.4712328767123286</v>
      </c>
      <c r="F15" s="40">
        <v>1.0261098562612316</v>
      </c>
      <c r="G15" s="35">
        <v>1.5096465556500858</v>
      </c>
      <c r="J15" s="1">
        <v>46472</v>
      </c>
      <c r="K15" s="35">
        <v>8.9268976041487244E-2</v>
      </c>
      <c r="L15" s="40">
        <v>1.0261098562612316</v>
      </c>
      <c r="M15" s="35">
        <v>9.1599776174517811E-2</v>
      </c>
    </row>
    <row r="16" spans="1:14" x14ac:dyDescent="0.25">
      <c r="A16" s="15" t="s">
        <v>11</v>
      </c>
      <c r="B16" s="17">
        <v>2</v>
      </c>
      <c r="D16" s="1">
        <v>46657</v>
      </c>
      <c r="E16" s="35">
        <v>1.5205479452054795</v>
      </c>
      <c r="F16" s="40">
        <v>1.0269828301662711</v>
      </c>
      <c r="G16" s="35">
        <v>1.5615766321706315</v>
      </c>
      <c r="J16" s="1">
        <v>46657</v>
      </c>
      <c r="K16" s="35">
        <v>0.12813472962702022</v>
      </c>
      <c r="L16" s="40">
        <v>1.0269828301662711</v>
      </c>
      <c r="M16" s="35">
        <v>0.13159216727494716</v>
      </c>
    </row>
    <row r="17" spans="1:13" x14ac:dyDescent="0.25">
      <c r="A17" s="15" t="s">
        <v>30</v>
      </c>
      <c r="B17" s="17" t="s">
        <v>35</v>
      </c>
      <c r="J17" s="44">
        <v>46811</v>
      </c>
      <c r="K17" s="35">
        <v>17.351658578685676</v>
      </c>
      <c r="L17" s="40">
        <v>1.027428218593555</v>
      </c>
      <c r="M17" s="35">
        <v>17.827583663142601</v>
      </c>
    </row>
    <row r="18" spans="1:13" x14ac:dyDescent="0.25">
      <c r="A18" s="15" t="s">
        <v>22</v>
      </c>
      <c r="B18" s="18">
        <v>0.03</v>
      </c>
    </row>
    <row r="19" spans="1:13" x14ac:dyDescent="0.25">
      <c r="A19" s="15" t="s">
        <v>41</v>
      </c>
      <c r="B19" s="8" t="s">
        <v>43</v>
      </c>
    </row>
    <row r="20" spans="1:13" x14ac:dyDescent="0.25">
      <c r="A20" s="21" t="s">
        <v>15</v>
      </c>
      <c r="B20">
        <v>15</v>
      </c>
    </row>
    <row r="21" spans="1:13" x14ac:dyDescent="0.25">
      <c r="A21" s="6" t="s">
        <v>97</v>
      </c>
      <c r="B21" s="4"/>
    </row>
    <row r="22" spans="1:13" x14ac:dyDescent="0.25">
      <c r="A22" s="14" t="s">
        <v>3</v>
      </c>
      <c r="B22" s="8" t="s">
        <v>18</v>
      </c>
    </row>
    <row r="23" spans="1:13" x14ac:dyDescent="0.25">
      <c r="A23" s="15" t="s">
        <v>30</v>
      </c>
      <c r="B23" s="8" t="s">
        <v>35</v>
      </c>
    </row>
    <row r="24" spans="1:13" x14ac:dyDescent="0.25">
      <c r="A24" s="7" t="s">
        <v>28</v>
      </c>
      <c r="B24" s="33">
        <f>25/(100*100)</f>
        <v>2.5000000000000001E-3</v>
      </c>
    </row>
    <row r="25" spans="1:13" x14ac:dyDescent="0.25">
      <c r="A25" s="7" t="s">
        <v>29</v>
      </c>
      <c r="B25" s="8" t="s">
        <v>67</v>
      </c>
    </row>
    <row r="26" spans="1:13" x14ac:dyDescent="0.25">
      <c r="A26" s="21" t="s">
        <v>15</v>
      </c>
      <c r="B26">
        <v>16</v>
      </c>
    </row>
    <row r="27" spans="1:13" x14ac:dyDescent="0.25">
      <c r="A27" s="21" t="s">
        <v>58</v>
      </c>
      <c r="B27" s="8" t="s">
        <v>59</v>
      </c>
    </row>
    <row r="28" spans="1:13" x14ac:dyDescent="0.25">
      <c r="A28" s="21" t="s">
        <v>72</v>
      </c>
      <c r="B28" s="8" t="s">
        <v>73</v>
      </c>
      <c r="C28" s="16"/>
    </row>
    <row r="29" spans="1:13" x14ac:dyDescent="0.25">
      <c r="A29" s="38" t="s">
        <v>84</v>
      </c>
      <c r="B29" s="8" t="s">
        <v>86</v>
      </c>
    </row>
    <row r="30" spans="1:13" x14ac:dyDescent="0.25">
      <c r="A30" s="1"/>
    </row>
    <row r="31" spans="1:13" x14ac:dyDescent="0.25">
      <c r="A31" s="1"/>
    </row>
    <row r="32" spans="1:13" x14ac:dyDescent="0.25">
      <c r="A32" s="1"/>
    </row>
    <row r="33" spans="1:1" x14ac:dyDescent="0.25">
      <c r="A33" s="1"/>
    </row>
    <row r="34" spans="1:1" x14ac:dyDescent="0.25">
      <c r="A34" s="1"/>
    </row>
    <row r="36" spans="1:1" x14ac:dyDescent="0.25">
      <c r="A36" s="3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4" name="Button 6">
              <controlPr defaultSize="0" print="0" autoFill="0" autoPict="0" macro="[0]!TRS_Clear">
                <anchor moveWithCells="1">
                  <from>
                    <xdr:col>15</xdr:col>
                    <xdr:colOff>9525</xdr:colOff>
                    <xdr:row>2</xdr:row>
                    <xdr:rowOff>0</xdr:rowOff>
                  </from>
                  <to>
                    <xdr:col>16</xdr:col>
                    <xdr:colOff>323850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CreateCalendar">
                <anchor moveWithCells="1">
                  <from>
                    <xdr:col>15</xdr:col>
                    <xdr:colOff>9525</xdr:colOff>
                    <xdr:row>5</xdr:row>
                    <xdr:rowOff>9525</xdr:rowOff>
                  </from>
                  <to>
                    <xdr:col>16</xdr:col>
                    <xdr:colOff>323850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6" name="Button 8">
              <controlPr defaultSize="0" print="0" autoFill="0" autoPict="0" macro="[0]!TRS_Flux">
                <anchor moveWithCells="1">
                  <from>
                    <xdr:col>15</xdr:col>
                    <xdr:colOff>9525</xdr:colOff>
                    <xdr:row>8</xdr:row>
                    <xdr:rowOff>0</xdr:rowOff>
                  </from>
                  <to>
                    <xdr:col>16</xdr:col>
                    <xdr:colOff>323850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7" name="Button 9">
              <controlPr defaultSize="0" print="0" autoFill="0" autoPict="0" macro="[0]!DiscountFactor">
                <anchor mov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314325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8" name="Button 10">
              <controlPr defaultSize="0" print="0" autoFill="0" autoPict="0" macro="[0]!DiscountFlux">
                <anchor moveWithCells="1">
                  <from>
                    <xdr:col>15</xdr:col>
                    <xdr:colOff>9525</xdr:colOff>
                    <xdr:row>14</xdr:row>
                    <xdr:rowOff>9525</xdr:rowOff>
                  </from>
                  <to>
                    <xdr:col>16</xdr:col>
                    <xdr:colOff>323850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9" name="Button 11">
              <controlPr defaultSize="0" print="0" autoFill="0" autoPict="0" macro="[0]!PriceLeg">
                <anchor moveWithCells="1">
                  <from>
                    <xdr:col>15</xdr:col>
                    <xdr:colOff>0</xdr:colOff>
                    <xdr:row>17</xdr:row>
                    <xdr:rowOff>9525</xdr:rowOff>
                  </from>
                  <to>
                    <xdr:col>16</xdr:col>
                    <xdr:colOff>314325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0" name="Button 12">
              <controlPr defaultSize="0" print="0" autoFill="0" autoPict="0" macro="[0]!ComputePrice">
                <anchor moveWithCells="1">
                  <from>
                    <xdr:col>15</xdr:col>
                    <xdr:colOff>9525</xdr:colOff>
                    <xdr:row>20</xdr:row>
                    <xdr:rowOff>0</xdr:rowOff>
                  </from>
                  <to>
                    <xdr:col>16</xdr:col>
                    <xdr:colOff>323850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1" name="Button 13">
              <controlPr defaultSize="0" print="0" autoFill="0" autoPict="0" macro="[0]!ComputeAll">
                <anchor moveWithCells="1">
                  <from>
                    <xdr:col>0</xdr:col>
                    <xdr:colOff>0</xdr:colOff>
                    <xdr:row>29</xdr:row>
                    <xdr:rowOff>9525</xdr:rowOff>
                  </from>
                  <to>
                    <xdr:col>0</xdr:col>
                    <xdr:colOff>2200275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31473D56-1AB1-495F-8909-75A43959E450}">
          <x14:formula1>
            <xm:f>Utilitaires!$A$2:$A$3</xm:f>
          </x14:formula1>
          <xm:sqref>B15 B22</xm:sqref>
        </x14:dataValidation>
        <x14:dataValidation type="list" allowBlank="1" showInputMessage="1" showErrorMessage="1" xr:uid="{300FE2A3-7DDE-40DF-9CAF-DF7A6769AC9F}">
          <x14:formula1>
            <xm:f>Utilitaires!$C$3:$C$14</xm:f>
          </x14:formula1>
          <xm:sqref>B16</xm:sqref>
        </x14:dataValidation>
        <x14:dataValidation type="list" allowBlank="1" showInputMessage="1" showErrorMessage="1" xr:uid="{78187A78-EC30-41A0-9385-24B235E8EC6E}">
          <x14:formula1>
            <xm:f>Utilitaires!$D$2:$D$3</xm:f>
          </x14:formula1>
          <xm:sqref>B5</xm:sqref>
        </x14:dataValidation>
        <x14:dataValidation type="list" allowBlank="1" showInputMessage="1" showErrorMessage="1" xr:uid="{6F399D88-F594-42D1-8371-336815458797}">
          <x14:formula1>
            <xm:f>Utilitaires!$F$3:$F$3</xm:f>
          </x14:formula1>
          <xm:sqref>B25</xm:sqref>
        </x14:dataValidation>
        <x14:dataValidation type="list" allowBlank="1" showInputMessage="1" showErrorMessage="1" xr:uid="{2C8B5E6D-2645-4EDA-95DB-06E7B5DA9FBD}">
          <x14:formula1>
            <xm:f>Utilitaires!$G$2:$G$3</xm:f>
          </x14:formula1>
          <xm:sqref>B27</xm:sqref>
        </x14:dataValidation>
        <x14:dataValidation type="list" allowBlank="1" showInputMessage="1" showErrorMessage="1" xr:uid="{388258B6-8738-4FDD-8B48-76E30886FD8D}">
          <x14:formula1>
            <xm:f>Utilitaires!$H$2:$H$3</xm:f>
          </x14:formula1>
          <xm:sqref>B17 B23</xm:sqref>
        </x14:dataValidation>
        <x14:dataValidation type="list" allowBlank="1" showInputMessage="1" showErrorMessage="1" xr:uid="{E9EE04F3-2341-4E0F-AD23-F3EFA76A5783}">
          <x14:formula1>
            <xm:f>Utilitaires!$J$2:$J$3</xm:f>
          </x14:formula1>
          <xm:sqref>B28</xm:sqref>
        </x14:dataValidation>
        <x14:dataValidation type="list" allowBlank="1" showInputMessage="1" showErrorMessage="1" xr:uid="{D56641A5-2072-4B20-85CA-0851ACE4713C}">
          <x14:formula1>
            <xm:f>Utilitaires!$K$2:$K$3</xm:f>
          </x14:formula1>
          <xm:sqref>B29</xm:sqref>
        </x14:dataValidation>
        <x14:dataValidation type="list" allowBlank="1" showInputMessage="1" showErrorMessage="1" xr:uid="{43077137-B73F-4D4C-B971-880FA63B78FD}">
          <x14:formula1>
            <xm:f>Utilitaires!$F$2:$F$3</xm:f>
          </x14:formula1>
          <xm:sqref>B19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60EC5-FA9D-47FD-B559-95B994690193}">
  <sheetPr codeName="Feuil4"/>
  <dimension ref="A1:T29"/>
  <sheetViews>
    <sheetView workbookViewId="0">
      <selection activeCell="G13" sqref="G13"/>
    </sheetView>
  </sheetViews>
  <sheetFormatPr defaultColWidth="11.42578125" defaultRowHeight="15" x14ac:dyDescent="0.25"/>
  <cols>
    <col min="1" max="1" width="19.5703125" customWidth="1"/>
    <col min="2" max="2" width="11.5703125" customWidth="1"/>
    <col min="18" max="18" width="14.28515625" customWidth="1"/>
  </cols>
  <sheetData>
    <row r="1" spans="1:20" x14ac:dyDescent="0.25">
      <c r="A1" t="s">
        <v>17</v>
      </c>
      <c r="B1">
        <v>0.5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15</v>
      </c>
      <c r="N1">
        <v>20</v>
      </c>
      <c r="O1">
        <v>25</v>
      </c>
      <c r="P1">
        <v>30</v>
      </c>
      <c r="Q1">
        <v>35</v>
      </c>
    </row>
    <row r="2" spans="1:20" x14ac:dyDescent="0.25">
      <c r="A2" t="s">
        <v>16</v>
      </c>
      <c r="B2" s="2">
        <v>4.1000000000000012E-3</v>
      </c>
      <c r="C2" s="2">
        <v>4.316183531702291E-3</v>
      </c>
      <c r="D2" s="2">
        <v>4.3816840370061155E-3</v>
      </c>
      <c r="E2" s="2">
        <v>4.7088836145699458E-3</v>
      </c>
      <c r="F2" s="2">
        <v>4.8533415979029222E-3</v>
      </c>
      <c r="G2" s="2">
        <v>5.1785849313533798E-3</v>
      </c>
      <c r="H2" s="2">
        <v>5.6083707795363397E-3</v>
      </c>
      <c r="I2" s="2">
        <v>6.110573392344068E-3</v>
      </c>
      <c r="J2" s="2">
        <v>6.6819305972359733E-3</v>
      </c>
      <c r="K2" s="2">
        <v>7.2563763788476201E-3</v>
      </c>
      <c r="L2" s="2">
        <v>7.8434222085439417E-3</v>
      </c>
      <c r="M2" s="2">
        <v>1.0334169454902951E-2</v>
      </c>
      <c r="N2" s="2">
        <v>1.1486890913197821E-2</v>
      </c>
      <c r="O2" s="2">
        <v>1.1695428659857515E-2</v>
      </c>
      <c r="P2" s="2">
        <v>1.1900000000000001E-2</v>
      </c>
      <c r="Q2" s="2">
        <v>1.2E-2</v>
      </c>
      <c r="R2" s="2"/>
      <c r="S2" s="2"/>
      <c r="T2" s="2"/>
    </row>
    <row r="4" spans="1:20" x14ac:dyDescent="0.25">
      <c r="A4" t="s">
        <v>24</v>
      </c>
      <c r="B4">
        <f>COUNTA(B1:U1)</f>
        <v>16</v>
      </c>
    </row>
    <row r="5" spans="1:20" x14ac:dyDescent="0.25">
      <c r="D5" s="13"/>
    </row>
    <row r="9" spans="1:20" x14ac:dyDescent="0.25">
      <c r="E9" s="2"/>
    </row>
    <row r="10" spans="1:20" x14ac:dyDescent="0.25">
      <c r="B10" s="2"/>
      <c r="E10" s="2"/>
    </row>
    <row r="11" spans="1:20" x14ac:dyDescent="0.25">
      <c r="A11" s="3"/>
      <c r="E11" s="2"/>
    </row>
    <row r="12" spans="1:20" x14ac:dyDescent="0.25">
      <c r="A12" s="3"/>
      <c r="B12" s="46"/>
      <c r="E12" s="2"/>
    </row>
    <row r="13" spans="1:20" x14ac:dyDescent="0.25">
      <c r="E13" s="2"/>
    </row>
    <row r="14" spans="1:20" x14ac:dyDescent="0.25">
      <c r="E14" s="2"/>
    </row>
    <row r="15" spans="1:20" x14ac:dyDescent="0.25">
      <c r="E15" s="2"/>
    </row>
    <row r="16" spans="1:20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2:20" x14ac:dyDescent="0.25">
      <c r="E17" s="2"/>
    </row>
    <row r="18" spans="2:20" x14ac:dyDescent="0.25">
      <c r="E18" s="2"/>
    </row>
    <row r="19" spans="2:20" x14ac:dyDescent="0.25">
      <c r="E19" s="2"/>
    </row>
    <row r="23" spans="2:20" x14ac:dyDescent="0.25">
      <c r="B23" s="2"/>
    </row>
    <row r="24" spans="2:20" x14ac:dyDescent="0.2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</row>
    <row r="28" spans="2:20" x14ac:dyDescent="0.25"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</row>
    <row r="29" spans="2:20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BC744-0556-4FDA-AAC5-F208873E8FF7}">
  <sheetPr codeName="Feuil10"/>
  <dimension ref="A1:Q13"/>
  <sheetViews>
    <sheetView workbookViewId="0">
      <selection activeCell="J20" sqref="J20"/>
    </sheetView>
  </sheetViews>
  <sheetFormatPr defaultColWidth="11.42578125" defaultRowHeight="15" x14ac:dyDescent="0.25"/>
  <cols>
    <col min="1" max="1" width="16.28515625" bestFit="1" customWidth="1"/>
  </cols>
  <sheetData>
    <row r="1" spans="1:17" x14ac:dyDescent="0.25">
      <c r="A1" t="s">
        <v>17</v>
      </c>
      <c r="B1">
        <v>0.5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15</v>
      </c>
      <c r="N1">
        <v>20</v>
      </c>
      <c r="O1">
        <v>25</v>
      </c>
      <c r="P1">
        <v>30</v>
      </c>
      <c r="Q1">
        <v>35</v>
      </c>
    </row>
    <row r="2" spans="1:17" x14ac:dyDescent="0.25">
      <c r="A2" t="s">
        <v>16</v>
      </c>
      <c r="B2" s="2">
        <v>7.1000000000000013E-3</v>
      </c>
      <c r="C2" s="2">
        <v>7.3161835317022911E-3</v>
      </c>
      <c r="D2" s="2">
        <v>7.3816840370061155E-3</v>
      </c>
      <c r="E2" s="2">
        <v>7.7088836145699459E-3</v>
      </c>
      <c r="F2" s="2">
        <v>7.8533415979029214E-3</v>
      </c>
      <c r="G2" s="2">
        <v>8.178584931353379E-3</v>
      </c>
      <c r="H2" s="2">
        <v>8.6083707795363389E-3</v>
      </c>
      <c r="I2" s="2">
        <v>9.1105733923440672E-3</v>
      </c>
      <c r="J2" s="2">
        <v>9.6819305972359743E-3</v>
      </c>
      <c r="K2" s="2">
        <v>1.0256376378847621E-2</v>
      </c>
      <c r="L2" s="2">
        <v>1.0843422208543941E-2</v>
      </c>
      <c r="M2" s="2">
        <v>1.3334169454902952E-2</v>
      </c>
      <c r="N2" s="2">
        <v>1.4486890913197822E-2</v>
      </c>
      <c r="O2" s="2">
        <v>1.4695428659857516E-2</v>
      </c>
      <c r="P2" s="2">
        <v>1.4872029859525701E-2</v>
      </c>
      <c r="Q2" s="2">
        <v>1.4999999999999999E-2</v>
      </c>
    </row>
    <row r="4" spans="1:17" x14ac:dyDescent="0.25">
      <c r="A4" t="s">
        <v>24</v>
      </c>
      <c r="B4">
        <f>COUNTA(B1:V1)</f>
        <v>16</v>
      </c>
    </row>
    <row r="8" spans="1:17" x14ac:dyDescent="0.25">
      <c r="B8" s="2"/>
    </row>
    <row r="13" spans="1:17" x14ac:dyDescent="0.25">
      <c r="B13" s="2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D0D94-2660-459D-8DDE-6F36224EED71}">
  <sheetPr codeName="Feuil9"/>
  <dimension ref="A1:AD30"/>
  <sheetViews>
    <sheetView workbookViewId="0">
      <selection activeCell="E27" sqref="E27"/>
    </sheetView>
  </sheetViews>
  <sheetFormatPr defaultColWidth="11.42578125" defaultRowHeight="15" x14ac:dyDescent="0.25"/>
  <cols>
    <col min="1" max="1" width="18.28515625" bestFit="1" customWidth="1"/>
    <col min="2" max="10" width="18.28515625" customWidth="1"/>
  </cols>
  <sheetData>
    <row r="1" spans="1:30" x14ac:dyDescent="0.25">
      <c r="A1" t="s">
        <v>44</v>
      </c>
      <c r="B1">
        <v>2012</v>
      </c>
      <c r="C1">
        <v>2013</v>
      </c>
      <c r="D1">
        <v>2014</v>
      </c>
      <c r="E1">
        <v>2015</v>
      </c>
      <c r="F1">
        <v>2016</v>
      </c>
      <c r="G1">
        <v>2017</v>
      </c>
      <c r="H1">
        <v>2018</v>
      </c>
      <c r="I1">
        <v>2019</v>
      </c>
      <c r="J1">
        <v>2020</v>
      </c>
      <c r="K1">
        <v>2021</v>
      </c>
      <c r="L1">
        <v>2022</v>
      </c>
      <c r="M1">
        <v>2023</v>
      </c>
      <c r="N1">
        <v>2024</v>
      </c>
      <c r="O1">
        <v>2025</v>
      </c>
      <c r="P1">
        <v>2026</v>
      </c>
      <c r="Q1">
        <v>2027</v>
      </c>
      <c r="R1">
        <v>2028</v>
      </c>
      <c r="S1">
        <v>2029</v>
      </c>
      <c r="T1">
        <v>2030</v>
      </c>
      <c r="U1">
        <v>2031</v>
      </c>
      <c r="V1">
        <v>2032</v>
      </c>
      <c r="W1">
        <v>2033</v>
      </c>
      <c r="X1">
        <v>2034</v>
      </c>
      <c r="Y1">
        <v>2035</v>
      </c>
      <c r="Z1">
        <v>2036</v>
      </c>
      <c r="AA1">
        <v>2037</v>
      </c>
      <c r="AB1">
        <v>2038</v>
      </c>
      <c r="AC1">
        <v>2039</v>
      </c>
      <c r="AD1">
        <v>2040</v>
      </c>
    </row>
    <row r="2" spans="1:30" x14ac:dyDescent="0.25">
      <c r="A2" t="s">
        <v>45</v>
      </c>
      <c r="B2" s="32">
        <f xml:space="preserve"> DATE(B$1,1,1)</f>
        <v>40909</v>
      </c>
      <c r="C2" s="32">
        <f t="shared" ref="C2:J2" si="0" xml:space="preserve"> DATE(C$1,1,1)</f>
        <v>41275</v>
      </c>
      <c r="D2" s="32">
        <f t="shared" si="0"/>
        <v>41640</v>
      </c>
      <c r="E2" s="32">
        <f t="shared" si="0"/>
        <v>42005</v>
      </c>
      <c r="F2" s="32">
        <f t="shared" si="0"/>
        <v>42370</v>
      </c>
      <c r="G2" s="32">
        <f t="shared" si="0"/>
        <v>42736</v>
      </c>
      <c r="H2" s="32">
        <f t="shared" si="0"/>
        <v>43101</v>
      </c>
      <c r="I2" s="32">
        <f t="shared" si="0"/>
        <v>43466</v>
      </c>
      <c r="J2" s="32">
        <f t="shared" si="0"/>
        <v>43831</v>
      </c>
      <c r="K2" s="32">
        <f xml:space="preserve"> DATE(K$1,1,1)</f>
        <v>44197</v>
      </c>
      <c r="L2" s="32">
        <f xml:space="preserve"> DATE(L$1,1,1)</f>
        <v>44562</v>
      </c>
      <c r="M2" s="32">
        <f t="shared" ref="M2:AD2" si="1" xml:space="preserve"> DATE(M$1,1,1)</f>
        <v>44927</v>
      </c>
      <c r="N2" s="32">
        <f t="shared" si="1"/>
        <v>45292</v>
      </c>
      <c r="O2" s="32">
        <f t="shared" si="1"/>
        <v>45658</v>
      </c>
      <c r="P2" s="32">
        <f t="shared" si="1"/>
        <v>46023</v>
      </c>
      <c r="Q2" s="32">
        <f t="shared" si="1"/>
        <v>46388</v>
      </c>
      <c r="R2" s="32">
        <f t="shared" si="1"/>
        <v>46753</v>
      </c>
      <c r="S2" s="32">
        <f t="shared" si="1"/>
        <v>47119</v>
      </c>
      <c r="T2" s="32">
        <f t="shared" si="1"/>
        <v>47484</v>
      </c>
      <c r="U2" s="32">
        <f t="shared" si="1"/>
        <v>47849</v>
      </c>
      <c r="V2" s="32">
        <f t="shared" si="1"/>
        <v>48214</v>
      </c>
      <c r="W2" s="32">
        <f t="shared" si="1"/>
        <v>48580</v>
      </c>
      <c r="X2" s="32">
        <f t="shared" si="1"/>
        <v>48945</v>
      </c>
      <c r="Y2" s="32">
        <f t="shared" si="1"/>
        <v>49310</v>
      </c>
      <c r="Z2" s="32">
        <f t="shared" si="1"/>
        <v>49675</v>
      </c>
      <c r="AA2" s="32">
        <f t="shared" si="1"/>
        <v>50041</v>
      </c>
      <c r="AB2" s="32">
        <f t="shared" si="1"/>
        <v>50406</v>
      </c>
      <c r="AC2" s="32">
        <f t="shared" si="1"/>
        <v>50771</v>
      </c>
      <c r="AD2" s="32">
        <f t="shared" si="1"/>
        <v>51136</v>
      </c>
    </row>
    <row r="3" spans="1:30" x14ac:dyDescent="0.25">
      <c r="A3" t="s">
        <v>47</v>
      </c>
      <c r="B3" s="32">
        <f xml:space="preserve"> FLOOR(DAY(MINUTE(B$1/38)/2+56)&amp;"/5/"&amp;B$1,7)-34</f>
        <v>41007</v>
      </c>
      <c r="C3" s="32">
        <f t="shared" ref="C3:J3" si="2" xml:space="preserve"> FLOOR(DAY(MINUTE(C$1/38)/2+56)&amp;"/5/"&amp;C$1,7)-34</f>
        <v>41364</v>
      </c>
      <c r="D3" s="32">
        <f t="shared" si="2"/>
        <v>41749</v>
      </c>
      <c r="E3" s="32">
        <f t="shared" si="2"/>
        <v>42099</v>
      </c>
      <c r="F3" s="32">
        <f t="shared" si="2"/>
        <v>42456</v>
      </c>
      <c r="G3" s="32">
        <f t="shared" si="2"/>
        <v>42841</v>
      </c>
      <c r="H3" s="32">
        <f t="shared" si="2"/>
        <v>43191</v>
      </c>
      <c r="I3" s="32">
        <f t="shared" si="2"/>
        <v>43576</v>
      </c>
      <c r="J3" s="32">
        <f t="shared" si="2"/>
        <v>43933</v>
      </c>
      <c r="K3" s="32">
        <f xml:space="preserve"> FLOOR(DAY(MINUTE(K$1/38)/2+56)&amp;"/5/"&amp;K$1,7)-34</f>
        <v>44290</v>
      </c>
      <c r="L3" s="32">
        <f xml:space="preserve"> FLOOR(DAY(MINUTE(L$1/38)/2+56)&amp;"/5/"&amp;L$1,7)-34</f>
        <v>44668</v>
      </c>
      <c r="M3" s="32">
        <f t="shared" ref="M3:AD3" si="3" xml:space="preserve"> FLOOR(DAY(MINUTE(M$1/38)/2+56)&amp;"/5/"&amp;M$1,7)-34</f>
        <v>45025</v>
      </c>
      <c r="N3" s="32">
        <f t="shared" si="3"/>
        <v>45382</v>
      </c>
      <c r="O3" s="32">
        <f t="shared" si="3"/>
        <v>45767</v>
      </c>
      <c r="P3" s="32">
        <f t="shared" si="3"/>
        <v>46117</v>
      </c>
      <c r="Q3" s="32">
        <f t="shared" si="3"/>
        <v>46474</v>
      </c>
      <c r="R3" s="32">
        <f t="shared" si="3"/>
        <v>46859</v>
      </c>
      <c r="S3" s="32">
        <f t="shared" si="3"/>
        <v>47209</v>
      </c>
      <c r="T3" s="32">
        <f t="shared" si="3"/>
        <v>47594</v>
      </c>
      <c r="U3" s="32">
        <f t="shared" si="3"/>
        <v>47951</v>
      </c>
      <c r="V3" s="32">
        <f t="shared" si="3"/>
        <v>48301</v>
      </c>
      <c r="W3" s="32">
        <f t="shared" si="3"/>
        <v>48686</v>
      </c>
      <c r="X3" s="32">
        <f t="shared" si="3"/>
        <v>49043</v>
      </c>
      <c r="Y3" s="32">
        <f t="shared" si="3"/>
        <v>49393</v>
      </c>
      <c r="Z3" s="32">
        <f t="shared" si="3"/>
        <v>49778</v>
      </c>
      <c r="AA3" s="32">
        <f t="shared" si="3"/>
        <v>50135</v>
      </c>
      <c r="AB3" s="32">
        <f t="shared" si="3"/>
        <v>50520</v>
      </c>
      <c r="AC3" s="32">
        <f t="shared" si="3"/>
        <v>50870</v>
      </c>
      <c r="AD3" s="32">
        <f t="shared" si="3"/>
        <v>51227</v>
      </c>
    </row>
    <row r="4" spans="1:30" x14ac:dyDescent="0.25">
      <c r="A4" t="s">
        <v>46</v>
      </c>
      <c r="B4" s="32">
        <f xml:space="preserve"> B3+ 1</f>
        <v>41008</v>
      </c>
      <c r="C4" s="32">
        <f t="shared" ref="C4:J4" si="4" xml:space="preserve"> C3+ 1</f>
        <v>41365</v>
      </c>
      <c r="D4" s="32">
        <f t="shared" si="4"/>
        <v>41750</v>
      </c>
      <c r="E4" s="32">
        <f t="shared" si="4"/>
        <v>42100</v>
      </c>
      <c r="F4" s="32">
        <f t="shared" si="4"/>
        <v>42457</v>
      </c>
      <c r="G4" s="32">
        <f t="shared" si="4"/>
        <v>42842</v>
      </c>
      <c r="H4" s="32">
        <f t="shared" si="4"/>
        <v>43192</v>
      </c>
      <c r="I4" s="32">
        <f t="shared" si="4"/>
        <v>43577</v>
      </c>
      <c r="J4" s="32">
        <f t="shared" si="4"/>
        <v>43934</v>
      </c>
      <c r="K4" s="32">
        <f xml:space="preserve"> K3+ 1</f>
        <v>44291</v>
      </c>
      <c r="L4" s="32">
        <f xml:space="preserve"> L3+ 1</f>
        <v>44669</v>
      </c>
      <c r="M4" s="32">
        <f t="shared" ref="M4:AD4" si="5" xml:space="preserve"> M3+ 1</f>
        <v>45026</v>
      </c>
      <c r="N4" s="32">
        <f t="shared" si="5"/>
        <v>45383</v>
      </c>
      <c r="O4" s="32">
        <f t="shared" si="5"/>
        <v>45768</v>
      </c>
      <c r="P4" s="32">
        <f t="shared" si="5"/>
        <v>46118</v>
      </c>
      <c r="Q4" s="32">
        <f t="shared" si="5"/>
        <v>46475</v>
      </c>
      <c r="R4" s="32">
        <f t="shared" si="5"/>
        <v>46860</v>
      </c>
      <c r="S4" s="32">
        <f t="shared" si="5"/>
        <v>47210</v>
      </c>
      <c r="T4" s="32">
        <f t="shared" si="5"/>
        <v>47595</v>
      </c>
      <c r="U4" s="32">
        <f t="shared" si="5"/>
        <v>47952</v>
      </c>
      <c r="V4" s="32">
        <f t="shared" si="5"/>
        <v>48302</v>
      </c>
      <c r="W4" s="32">
        <f t="shared" si="5"/>
        <v>48687</v>
      </c>
      <c r="X4" s="32">
        <f t="shared" si="5"/>
        <v>49044</v>
      </c>
      <c r="Y4" s="32">
        <f t="shared" si="5"/>
        <v>49394</v>
      </c>
      <c r="Z4" s="32">
        <f t="shared" si="5"/>
        <v>49779</v>
      </c>
      <c r="AA4" s="32">
        <f t="shared" si="5"/>
        <v>50136</v>
      </c>
      <c r="AB4" s="32">
        <f t="shared" si="5"/>
        <v>50521</v>
      </c>
      <c r="AC4" s="32">
        <f t="shared" si="5"/>
        <v>50871</v>
      </c>
      <c r="AD4" s="32">
        <f t="shared" si="5"/>
        <v>51228</v>
      </c>
    </row>
    <row r="5" spans="1:30" x14ac:dyDescent="0.25">
      <c r="A5" t="s">
        <v>48</v>
      </c>
      <c r="B5" s="32">
        <f xml:space="preserve"> DATE(B$1,5,1)</f>
        <v>41030</v>
      </c>
      <c r="C5" s="32">
        <f t="shared" ref="C5:J5" si="6" xml:space="preserve"> DATE(C$1,5,1)</f>
        <v>41395</v>
      </c>
      <c r="D5" s="32">
        <f t="shared" si="6"/>
        <v>41760</v>
      </c>
      <c r="E5" s="32">
        <f t="shared" si="6"/>
        <v>42125</v>
      </c>
      <c r="F5" s="32">
        <f t="shared" si="6"/>
        <v>42491</v>
      </c>
      <c r="G5" s="32">
        <f t="shared" si="6"/>
        <v>42856</v>
      </c>
      <c r="H5" s="32">
        <f t="shared" si="6"/>
        <v>43221</v>
      </c>
      <c r="I5" s="32">
        <f t="shared" si="6"/>
        <v>43586</v>
      </c>
      <c r="J5" s="32">
        <f t="shared" si="6"/>
        <v>43952</v>
      </c>
      <c r="K5" s="32">
        <f xml:space="preserve"> DATE(K$1,5,1)</f>
        <v>44317</v>
      </c>
      <c r="L5" s="32">
        <f t="shared" ref="L5:AD5" si="7" xml:space="preserve"> DATE(L$1,5,1)</f>
        <v>44682</v>
      </c>
      <c r="M5" s="32">
        <f t="shared" si="7"/>
        <v>45047</v>
      </c>
      <c r="N5" s="32">
        <f t="shared" si="7"/>
        <v>45413</v>
      </c>
      <c r="O5" s="32">
        <f t="shared" si="7"/>
        <v>45778</v>
      </c>
      <c r="P5" s="32">
        <f t="shared" si="7"/>
        <v>46143</v>
      </c>
      <c r="Q5" s="32">
        <f t="shared" si="7"/>
        <v>46508</v>
      </c>
      <c r="R5" s="32">
        <f t="shared" si="7"/>
        <v>46874</v>
      </c>
      <c r="S5" s="32">
        <f t="shared" si="7"/>
        <v>47239</v>
      </c>
      <c r="T5" s="32">
        <f t="shared" si="7"/>
        <v>47604</v>
      </c>
      <c r="U5" s="32">
        <f t="shared" si="7"/>
        <v>47969</v>
      </c>
      <c r="V5" s="32">
        <f t="shared" si="7"/>
        <v>48335</v>
      </c>
      <c r="W5" s="32">
        <f t="shared" si="7"/>
        <v>48700</v>
      </c>
      <c r="X5" s="32">
        <f t="shared" si="7"/>
        <v>49065</v>
      </c>
      <c r="Y5" s="32">
        <f t="shared" si="7"/>
        <v>49430</v>
      </c>
      <c r="Z5" s="32">
        <f t="shared" si="7"/>
        <v>49796</v>
      </c>
      <c r="AA5" s="32">
        <f t="shared" si="7"/>
        <v>50161</v>
      </c>
      <c r="AB5" s="32">
        <f t="shared" si="7"/>
        <v>50526</v>
      </c>
      <c r="AC5" s="32">
        <f t="shared" si="7"/>
        <v>50891</v>
      </c>
      <c r="AD5" s="32">
        <f t="shared" si="7"/>
        <v>51257</v>
      </c>
    </row>
    <row r="6" spans="1:30" x14ac:dyDescent="0.25">
      <c r="A6" t="s">
        <v>49</v>
      </c>
      <c r="B6" s="32">
        <f xml:space="preserve"> DATE(B$1,5,8)</f>
        <v>41037</v>
      </c>
      <c r="C6" s="32">
        <f t="shared" ref="C6:J6" si="8" xml:space="preserve"> DATE(C$1,5,8)</f>
        <v>41402</v>
      </c>
      <c r="D6" s="32">
        <f t="shared" si="8"/>
        <v>41767</v>
      </c>
      <c r="E6" s="32">
        <f t="shared" si="8"/>
        <v>42132</v>
      </c>
      <c r="F6" s="32">
        <f t="shared" si="8"/>
        <v>42498</v>
      </c>
      <c r="G6" s="32">
        <f t="shared" si="8"/>
        <v>42863</v>
      </c>
      <c r="H6" s="32">
        <f t="shared" si="8"/>
        <v>43228</v>
      </c>
      <c r="I6" s="32">
        <f t="shared" si="8"/>
        <v>43593</v>
      </c>
      <c r="J6" s="32">
        <f t="shared" si="8"/>
        <v>43959</v>
      </c>
      <c r="K6" s="32">
        <f xml:space="preserve"> DATE(K$1,5,8)</f>
        <v>44324</v>
      </c>
      <c r="L6" s="32">
        <f t="shared" ref="L6:AD6" si="9" xml:space="preserve"> DATE(L$1,5,8)</f>
        <v>44689</v>
      </c>
      <c r="M6" s="32">
        <f t="shared" si="9"/>
        <v>45054</v>
      </c>
      <c r="N6" s="32">
        <f t="shared" si="9"/>
        <v>45420</v>
      </c>
      <c r="O6" s="32">
        <f t="shared" si="9"/>
        <v>45785</v>
      </c>
      <c r="P6" s="32">
        <f t="shared" si="9"/>
        <v>46150</v>
      </c>
      <c r="Q6" s="32">
        <f t="shared" si="9"/>
        <v>46515</v>
      </c>
      <c r="R6" s="32">
        <f t="shared" si="9"/>
        <v>46881</v>
      </c>
      <c r="S6" s="32">
        <f t="shared" si="9"/>
        <v>47246</v>
      </c>
      <c r="T6" s="32">
        <f t="shared" si="9"/>
        <v>47611</v>
      </c>
      <c r="U6" s="32">
        <f t="shared" si="9"/>
        <v>47976</v>
      </c>
      <c r="V6" s="32">
        <f t="shared" si="9"/>
        <v>48342</v>
      </c>
      <c r="W6" s="32">
        <f t="shared" si="9"/>
        <v>48707</v>
      </c>
      <c r="X6" s="32">
        <f t="shared" si="9"/>
        <v>49072</v>
      </c>
      <c r="Y6" s="32">
        <f t="shared" si="9"/>
        <v>49437</v>
      </c>
      <c r="Z6" s="32">
        <f t="shared" si="9"/>
        <v>49803</v>
      </c>
      <c r="AA6" s="32">
        <f t="shared" si="9"/>
        <v>50168</v>
      </c>
      <c r="AB6" s="32">
        <f t="shared" si="9"/>
        <v>50533</v>
      </c>
      <c r="AC6" s="32">
        <f t="shared" si="9"/>
        <v>50898</v>
      </c>
      <c r="AD6" s="32">
        <f t="shared" si="9"/>
        <v>51264</v>
      </c>
    </row>
    <row r="7" spans="1:30" x14ac:dyDescent="0.25">
      <c r="A7" t="s">
        <v>50</v>
      </c>
      <c r="B7" s="32">
        <f xml:space="preserve"> B3 + 39</f>
        <v>41046</v>
      </c>
      <c r="C7" s="32">
        <f t="shared" ref="C7:J7" si="10" xml:space="preserve"> C3 + 39</f>
        <v>41403</v>
      </c>
      <c r="D7" s="32">
        <f t="shared" si="10"/>
        <v>41788</v>
      </c>
      <c r="E7" s="32">
        <f t="shared" si="10"/>
        <v>42138</v>
      </c>
      <c r="F7" s="32">
        <f t="shared" si="10"/>
        <v>42495</v>
      </c>
      <c r="G7" s="32">
        <f t="shared" si="10"/>
        <v>42880</v>
      </c>
      <c r="H7" s="32">
        <f t="shared" si="10"/>
        <v>43230</v>
      </c>
      <c r="I7" s="32">
        <f t="shared" si="10"/>
        <v>43615</v>
      </c>
      <c r="J7" s="32">
        <f t="shared" si="10"/>
        <v>43972</v>
      </c>
      <c r="K7" s="32">
        <f xml:space="preserve"> K3 + 39</f>
        <v>44329</v>
      </c>
      <c r="L7" s="32">
        <f t="shared" ref="L7:AD7" si="11" xml:space="preserve"> L3 + 39</f>
        <v>44707</v>
      </c>
      <c r="M7" s="32">
        <f t="shared" si="11"/>
        <v>45064</v>
      </c>
      <c r="N7" s="32">
        <f t="shared" si="11"/>
        <v>45421</v>
      </c>
      <c r="O7" s="32">
        <f t="shared" si="11"/>
        <v>45806</v>
      </c>
      <c r="P7" s="32">
        <f t="shared" si="11"/>
        <v>46156</v>
      </c>
      <c r="Q7" s="32">
        <f t="shared" si="11"/>
        <v>46513</v>
      </c>
      <c r="R7" s="32">
        <f t="shared" si="11"/>
        <v>46898</v>
      </c>
      <c r="S7" s="32">
        <f t="shared" si="11"/>
        <v>47248</v>
      </c>
      <c r="T7" s="32">
        <f t="shared" si="11"/>
        <v>47633</v>
      </c>
      <c r="U7" s="32">
        <f t="shared" si="11"/>
        <v>47990</v>
      </c>
      <c r="V7" s="32">
        <f t="shared" si="11"/>
        <v>48340</v>
      </c>
      <c r="W7" s="32">
        <f t="shared" si="11"/>
        <v>48725</v>
      </c>
      <c r="X7" s="32">
        <f t="shared" si="11"/>
        <v>49082</v>
      </c>
      <c r="Y7" s="32">
        <f t="shared" si="11"/>
        <v>49432</v>
      </c>
      <c r="Z7" s="32">
        <f t="shared" si="11"/>
        <v>49817</v>
      </c>
      <c r="AA7" s="32">
        <f t="shared" si="11"/>
        <v>50174</v>
      </c>
      <c r="AB7" s="32">
        <f t="shared" si="11"/>
        <v>50559</v>
      </c>
      <c r="AC7" s="32">
        <f t="shared" si="11"/>
        <v>50909</v>
      </c>
      <c r="AD7" s="32">
        <f t="shared" si="11"/>
        <v>51266</v>
      </c>
    </row>
    <row r="8" spans="1:30" x14ac:dyDescent="0.25">
      <c r="A8" t="s">
        <v>51</v>
      </c>
      <c r="B8" s="32">
        <f xml:space="preserve"> B3 + 49</f>
        <v>41056</v>
      </c>
      <c r="C8" s="32">
        <f t="shared" ref="C8:J8" si="12" xml:space="preserve"> C3 + 49</f>
        <v>41413</v>
      </c>
      <c r="D8" s="32">
        <f t="shared" si="12"/>
        <v>41798</v>
      </c>
      <c r="E8" s="32">
        <f t="shared" si="12"/>
        <v>42148</v>
      </c>
      <c r="F8" s="32">
        <f t="shared" si="12"/>
        <v>42505</v>
      </c>
      <c r="G8" s="32">
        <f t="shared" si="12"/>
        <v>42890</v>
      </c>
      <c r="H8" s="32">
        <f t="shared" si="12"/>
        <v>43240</v>
      </c>
      <c r="I8" s="32">
        <f t="shared" si="12"/>
        <v>43625</v>
      </c>
      <c r="J8" s="32">
        <f t="shared" si="12"/>
        <v>43982</v>
      </c>
      <c r="K8" s="32">
        <f xml:space="preserve"> K3 + 49</f>
        <v>44339</v>
      </c>
      <c r="L8" s="32">
        <f t="shared" ref="L8:AD8" si="13" xml:space="preserve"> L3 + 49</f>
        <v>44717</v>
      </c>
      <c r="M8" s="32">
        <f t="shared" si="13"/>
        <v>45074</v>
      </c>
      <c r="N8" s="32">
        <f t="shared" si="13"/>
        <v>45431</v>
      </c>
      <c r="O8" s="32">
        <f t="shared" si="13"/>
        <v>45816</v>
      </c>
      <c r="P8" s="32">
        <f t="shared" si="13"/>
        <v>46166</v>
      </c>
      <c r="Q8" s="32">
        <f t="shared" si="13"/>
        <v>46523</v>
      </c>
      <c r="R8" s="32">
        <f t="shared" si="13"/>
        <v>46908</v>
      </c>
      <c r="S8" s="32">
        <f t="shared" si="13"/>
        <v>47258</v>
      </c>
      <c r="T8" s="32">
        <f t="shared" si="13"/>
        <v>47643</v>
      </c>
      <c r="U8" s="32">
        <f t="shared" si="13"/>
        <v>48000</v>
      </c>
      <c r="V8" s="32">
        <f t="shared" si="13"/>
        <v>48350</v>
      </c>
      <c r="W8" s="32">
        <f t="shared" si="13"/>
        <v>48735</v>
      </c>
      <c r="X8" s="32">
        <f t="shared" si="13"/>
        <v>49092</v>
      </c>
      <c r="Y8" s="32">
        <f t="shared" si="13"/>
        <v>49442</v>
      </c>
      <c r="Z8" s="32">
        <f t="shared" si="13"/>
        <v>49827</v>
      </c>
      <c r="AA8" s="32">
        <f t="shared" si="13"/>
        <v>50184</v>
      </c>
      <c r="AB8" s="32">
        <f t="shared" si="13"/>
        <v>50569</v>
      </c>
      <c r="AC8" s="32">
        <f t="shared" si="13"/>
        <v>50919</v>
      </c>
      <c r="AD8" s="32">
        <f t="shared" si="13"/>
        <v>51276</v>
      </c>
    </row>
    <row r="9" spans="1:30" x14ac:dyDescent="0.25">
      <c r="A9" t="s">
        <v>52</v>
      </c>
      <c r="B9" s="32">
        <f xml:space="preserve"> B3+ 50</f>
        <v>41057</v>
      </c>
      <c r="C9" s="32">
        <f t="shared" ref="C9:J9" si="14" xml:space="preserve"> C3+ 50</f>
        <v>41414</v>
      </c>
      <c r="D9" s="32">
        <f t="shared" si="14"/>
        <v>41799</v>
      </c>
      <c r="E9" s="32">
        <f t="shared" si="14"/>
        <v>42149</v>
      </c>
      <c r="F9" s="32">
        <f t="shared" si="14"/>
        <v>42506</v>
      </c>
      <c r="G9" s="32">
        <f t="shared" si="14"/>
        <v>42891</v>
      </c>
      <c r="H9" s="32">
        <f t="shared" si="14"/>
        <v>43241</v>
      </c>
      <c r="I9" s="32">
        <f t="shared" si="14"/>
        <v>43626</v>
      </c>
      <c r="J9" s="32">
        <f t="shared" si="14"/>
        <v>43983</v>
      </c>
      <c r="K9" s="32">
        <f xml:space="preserve"> K3+ 50</f>
        <v>44340</v>
      </c>
      <c r="L9" s="32">
        <f t="shared" ref="L9:AD9" si="15" xml:space="preserve"> L3+ 50</f>
        <v>44718</v>
      </c>
      <c r="M9" s="32">
        <f t="shared" si="15"/>
        <v>45075</v>
      </c>
      <c r="N9" s="32">
        <f t="shared" si="15"/>
        <v>45432</v>
      </c>
      <c r="O9" s="32">
        <f t="shared" si="15"/>
        <v>45817</v>
      </c>
      <c r="P9" s="32">
        <f t="shared" si="15"/>
        <v>46167</v>
      </c>
      <c r="Q9" s="32">
        <f t="shared" si="15"/>
        <v>46524</v>
      </c>
      <c r="R9" s="32">
        <f t="shared" si="15"/>
        <v>46909</v>
      </c>
      <c r="S9" s="32">
        <f t="shared" si="15"/>
        <v>47259</v>
      </c>
      <c r="T9" s="32">
        <f t="shared" si="15"/>
        <v>47644</v>
      </c>
      <c r="U9" s="32">
        <f t="shared" si="15"/>
        <v>48001</v>
      </c>
      <c r="V9" s="32">
        <f t="shared" si="15"/>
        <v>48351</v>
      </c>
      <c r="W9" s="32">
        <f t="shared" si="15"/>
        <v>48736</v>
      </c>
      <c r="X9" s="32">
        <f t="shared" si="15"/>
        <v>49093</v>
      </c>
      <c r="Y9" s="32">
        <f t="shared" si="15"/>
        <v>49443</v>
      </c>
      <c r="Z9" s="32">
        <f t="shared" si="15"/>
        <v>49828</v>
      </c>
      <c r="AA9" s="32">
        <f t="shared" si="15"/>
        <v>50185</v>
      </c>
      <c r="AB9" s="32">
        <f t="shared" si="15"/>
        <v>50570</v>
      </c>
      <c r="AC9" s="32">
        <f t="shared" si="15"/>
        <v>50920</v>
      </c>
      <c r="AD9" s="32">
        <f t="shared" si="15"/>
        <v>51277</v>
      </c>
    </row>
    <row r="10" spans="1:30" x14ac:dyDescent="0.25">
      <c r="A10" t="s">
        <v>53</v>
      </c>
      <c r="B10" s="32">
        <f xml:space="preserve"> DATE($K$1,7,14)</f>
        <v>44391</v>
      </c>
      <c r="C10" s="32">
        <f t="shared" ref="C10:J10" si="16" xml:space="preserve"> DATE($K$1,7,14)</f>
        <v>44391</v>
      </c>
      <c r="D10" s="32">
        <f t="shared" si="16"/>
        <v>44391</v>
      </c>
      <c r="E10" s="32">
        <f t="shared" si="16"/>
        <v>44391</v>
      </c>
      <c r="F10" s="32">
        <f t="shared" si="16"/>
        <v>44391</v>
      </c>
      <c r="G10" s="32">
        <f t="shared" si="16"/>
        <v>44391</v>
      </c>
      <c r="H10" s="32">
        <f t="shared" si="16"/>
        <v>44391</v>
      </c>
      <c r="I10" s="32">
        <f t="shared" si="16"/>
        <v>44391</v>
      </c>
      <c r="J10" s="32">
        <f t="shared" si="16"/>
        <v>44391</v>
      </c>
      <c r="K10" s="32">
        <f t="shared" ref="K10:AD10" si="17" xml:space="preserve"> DATE($K$1,7,14)</f>
        <v>44391</v>
      </c>
      <c r="L10" s="32">
        <f t="shared" si="17"/>
        <v>44391</v>
      </c>
      <c r="M10" s="32">
        <f t="shared" si="17"/>
        <v>44391</v>
      </c>
      <c r="N10" s="32">
        <f t="shared" si="17"/>
        <v>44391</v>
      </c>
      <c r="O10" s="32">
        <f t="shared" si="17"/>
        <v>44391</v>
      </c>
      <c r="P10" s="32">
        <f t="shared" si="17"/>
        <v>44391</v>
      </c>
      <c r="Q10" s="32">
        <f t="shared" si="17"/>
        <v>44391</v>
      </c>
      <c r="R10" s="32">
        <f t="shared" si="17"/>
        <v>44391</v>
      </c>
      <c r="S10" s="32">
        <f t="shared" si="17"/>
        <v>44391</v>
      </c>
      <c r="T10" s="32">
        <f t="shared" si="17"/>
        <v>44391</v>
      </c>
      <c r="U10" s="32">
        <f t="shared" si="17"/>
        <v>44391</v>
      </c>
      <c r="V10" s="32">
        <f t="shared" si="17"/>
        <v>44391</v>
      </c>
      <c r="W10" s="32">
        <f t="shared" si="17"/>
        <v>44391</v>
      </c>
      <c r="X10" s="32">
        <f t="shared" si="17"/>
        <v>44391</v>
      </c>
      <c r="Y10" s="32">
        <f t="shared" si="17"/>
        <v>44391</v>
      </c>
      <c r="Z10" s="32">
        <f t="shared" si="17"/>
        <v>44391</v>
      </c>
      <c r="AA10" s="32">
        <f t="shared" si="17"/>
        <v>44391</v>
      </c>
      <c r="AB10" s="32">
        <f t="shared" si="17"/>
        <v>44391</v>
      </c>
      <c r="AC10" s="32">
        <f t="shared" si="17"/>
        <v>44391</v>
      </c>
      <c r="AD10" s="32">
        <f t="shared" si="17"/>
        <v>44391</v>
      </c>
    </row>
    <row r="11" spans="1:30" x14ac:dyDescent="0.25">
      <c r="A11" t="s">
        <v>54</v>
      </c>
      <c r="B11" s="32">
        <f xml:space="preserve"> DATE(B$1,8,15)</f>
        <v>41136</v>
      </c>
      <c r="C11" s="32">
        <f t="shared" ref="C11:J11" si="18" xml:space="preserve"> DATE(C$1,8,15)</f>
        <v>41501</v>
      </c>
      <c r="D11" s="32">
        <f t="shared" si="18"/>
        <v>41866</v>
      </c>
      <c r="E11" s="32">
        <f t="shared" si="18"/>
        <v>42231</v>
      </c>
      <c r="F11" s="32">
        <f t="shared" si="18"/>
        <v>42597</v>
      </c>
      <c r="G11" s="32">
        <f t="shared" si="18"/>
        <v>42962</v>
      </c>
      <c r="H11" s="32">
        <f t="shared" si="18"/>
        <v>43327</v>
      </c>
      <c r="I11" s="32">
        <f t="shared" si="18"/>
        <v>43692</v>
      </c>
      <c r="J11" s="32">
        <f t="shared" si="18"/>
        <v>44058</v>
      </c>
      <c r="K11" s="32">
        <f xml:space="preserve"> DATE(K$1,8,15)</f>
        <v>44423</v>
      </c>
      <c r="L11" s="32">
        <f t="shared" ref="L11:AD11" si="19" xml:space="preserve"> DATE(L$1,8,15)</f>
        <v>44788</v>
      </c>
      <c r="M11" s="32">
        <f t="shared" si="19"/>
        <v>45153</v>
      </c>
      <c r="N11" s="32">
        <f t="shared" si="19"/>
        <v>45519</v>
      </c>
      <c r="O11" s="32">
        <f t="shared" si="19"/>
        <v>45884</v>
      </c>
      <c r="P11" s="32">
        <f t="shared" si="19"/>
        <v>46249</v>
      </c>
      <c r="Q11" s="32">
        <f t="shared" si="19"/>
        <v>46614</v>
      </c>
      <c r="R11" s="32">
        <f t="shared" si="19"/>
        <v>46980</v>
      </c>
      <c r="S11" s="32">
        <f t="shared" si="19"/>
        <v>47345</v>
      </c>
      <c r="T11" s="32">
        <f t="shared" si="19"/>
        <v>47710</v>
      </c>
      <c r="U11" s="32">
        <f t="shared" si="19"/>
        <v>48075</v>
      </c>
      <c r="V11" s="32">
        <f t="shared" si="19"/>
        <v>48441</v>
      </c>
      <c r="W11" s="32">
        <f t="shared" si="19"/>
        <v>48806</v>
      </c>
      <c r="X11" s="32">
        <f t="shared" si="19"/>
        <v>49171</v>
      </c>
      <c r="Y11" s="32">
        <f t="shared" si="19"/>
        <v>49536</v>
      </c>
      <c r="Z11" s="32">
        <f t="shared" si="19"/>
        <v>49902</v>
      </c>
      <c r="AA11" s="32">
        <f t="shared" si="19"/>
        <v>50267</v>
      </c>
      <c r="AB11" s="32">
        <f t="shared" si="19"/>
        <v>50632</v>
      </c>
      <c r="AC11" s="32">
        <f t="shared" si="19"/>
        <v>50997</v>
      </c>
      <c r="AD11" s="32">
        <f t="shared" si="19"/>
        <v>51363</v>
      </c>
    </row>
    <row r="12" spans="1:30" x14ac:dyDescent="0.25">
      <c r="A12" t="s">
        <v>55</v>
      </c>
      <c r="B12" s="32">
        <f xml:space="preserve"> DATE(B$1,11,1)</f>
        <v>41214</v>
      </c>
      <c r="C12" s="32">
        <f t="shared" ref="C12:J12" si="20" xml:space="preserve"> DATE(C$1,11,1)</f>
        <v>41579</v>
      </c>
      <c r="D12" s="32">
        <f t="shared" si="20"/>
        <v>41944</v>
      </c>
      <c r="E12" s="32">
        <f t="shared" si="20"/>
        <v>42309</v>
      </c>
      <c r="F12" s="32">
        <f t="shared" si="20"/>
        <v>42675</v>
      </c>
      <c r="G12" s="32">
        <f t="shared" si="20"/>
        <v>43040</v>
      </c>
      <c r="H12" s="32">
        <f t="shared" si="20"/>
        <v>43405</v>
      </c>
      <c r="I12" s="32">
        <f t="shared" si="20"/>
        <v>43770</v>
      </c>
      <c r="J12" s="32">
        <f t="shared" si="20"/>
        <v>44136</v>
      </c>
      <c r="K12" s="32">
        <f xml:space="preserve"> DATE(K$1,11,1)</f>
        <v>44501</v>
      </c>
      <c r="L12" s="32">
        <f t="shared" ref="L12:AD12" si="21" xml:space="preserve"> DATE(L$1,11,1)</f>
        <v>44866</v>
      </c>
      <c r="M12" s="32">
        <f t="shared" si="21"/>
        <v>45231</v>
      </c>
      <c r="N12" s="32">
        <f t="shared" si="21"/>
        <v>45597</v>
      </c>
      <c r="O12" s="32">
        <f t="shared" si="21"/>
        <v>45962</v>
      </c>
      <c r="P12" s="32">
        <f t="shared" si="21"/>
        <v>46327</v>
      </c>
      <c r="Q12" s="32">
        <f t="shared" si="21"/>
        <v>46692</v>
      </c>
      <c r="R12" s="32">
        <f t="shared" si="21"/>
        <v>47058</v>
      </c>
      <c r="S12" s="32">
        <f t="shared" si="21"/>
        <v>47423</v>
      </c>
      <c r="T12" s="32">
        <f t="shared" si="21"/>
        <v>47788</v>
      </c>
      <c r="U12" s="32">
        <f t="shared" si="21"/>
        <v>48153</v>
      </c>
      <c r="V12" s="32">
        <f t="shared" si="21"/>
        <v>48519</v>
      </c>
      <c r="W12" s="32">
        <f t="shared" si="21"/>
        <v>48884</v>
      </c>
      <c r="X12" s="32">
        <f t="shared" si="21"/>
        <v>49249</v>
      </c>
      <c r="Y12" s="32">
        <f t="shared" si="21"/>
        <v>49614</v>
      </c>
      <c r="Z12" s="32">
        <f t="shared" si="21"/>
        <v>49980</v>
      </c>
      <c r="AA12" s="32">
        <f t="shared" si="21"/>
        <v>50345</v>
      </c>
      <c r="AB12" s="32">
        <f t="shared" si="21"/>
        <v>50710</v>
      </c>
      <c r="AC12" s="32">
        <f t="shared" si="21"/>
        <v>51075</v>
      </c>
      <c r="AD12" s="32">
        <f t="shared" si="21"/>
        <v>51441</v>
      </c>
    </row>
    <row r="13" spans="1:30" x14ac:dyDescent="0.25">
      <c r="A13" t="s">
        <v>56</v>
      </c>
      <c r="B13" s="32">
        <f xml:space="preserve"> DATE(B$1,11,11)</f>
        <v>41224</v>
      </c>
      <c r="C13" s="32">
        <f t="shared" ref="C13:J13" si="22" xml:space="preserve"> DATE(C$1,11,11)</f>
        <v>41589</v>
      </c>
      <c r="D13" s="32">
        <f t="shared" si="22"/>
        <v>41954</v>
      </c>
      <c r="E13" s="32">
        <f t="shared" si="22"/>
        <v>42319</v>
      </c>
      <c r="F13" s="32">
        <f t="shared" si="22"/>
        <v>42685</v>
      </c>
      <c r="G13" s="32">
        <f t="shared" si="22"/>
        <v>43050</v>
      </c>
      <c r="H13" s="32">
        <f t="shared" si="22"/>
        <v>43415</v>
      </c>
      <c r="I13" s="32">
        <f t="shared" si="22"/>
        <v>43780</v>
      </c>
      <c r="J13" s="32">
        <f t="shared" si="22"/>
        <v>44146</v>
      </c>
      <c r="K13" s="32">
        <f xml:space="preserve"> DATE(K$1,11,11)</f>
        <v>44511</v>
      </c>
      <c r="L13" s="32">
        <f t="shared" ref="L13:AD13" si="23" xml:space="preserve"> DATE(L$1,11,11)</f>
        <v>44876</v>
      </c>
      <c r="M13" s="32">
        <f t="shared" si="23"/>
        <v>45241</v>
      </c>
      <c r="N13" s="32">
        <f t="shared" si="23"/>
        <v>45607</v>
      </c>
      <c r="O13" s="32">
        <f t="shared" si="23"/>
        <v>45972</v>
      </c>
      <c r="P13" s="32">
        <f t="shared" si="23"/>
        <v>46337</v>
      </c>
      <c r="Q13" s="32">
        <f t="shared" si="23"/>
        <v>46702</v>
      </c>
      <c r="R13" s="32">
        <f t="shared" si="23"/>
        <v>47068</v>
      </c>
      <c r="S13" s="32">
        <f t="shared" si="23"/>
        <v>47433</v>
      </c>
      <c r="T13" s="32">
        <f t="shared" si="23"/>
        <v>47798</v>
      </c>
      <c r="U13" s="32">
        <f t="shared" si="23"/>
        <v>48163</v>
      </c>
      <c r="V13" s="32">
        <f t="shared" si="23"/>
        <v>48529</v>
      </c>
      <c r="W13" s="32">
        <f t="shared" si="23"/>
        <v>48894</v>
      </c>
      <c r="X13" s="32">
        <f t="shared" si="23"/>
        <v>49259</v>
      </c>
      <c r="Y13" s="32">
        <f t="shared" si="23"/>
        <v>49624</v>
      </c>
      <c r="Z13" s="32">
        <f t="shared" si="23"/>
        <v>49990</v>
      </c>
      <c r="AA13" s="32">
        <f t="shared" si="23"/>
        <v>50355</v>
      </c>
      <c r="AB13" s="32">
        <f t="shared" si="23"/>
        <v>50720</v>
      </c>
      <c r="AC13" s="32">
        <f t="shared" si="23"/>
        <v>51085</v>
      </c>
      <c r="AD13" s="32">
        <f t="shared" si="23"/>
        <v>51451</v>
      </c>
    </row>
    <row r="14" spans="1:30" x14ac:dyDescent="0.25">
      <c r="A14" t="s">
        <v>57</v>
      </c>
      <c r="B14" s="32">
        <f xml:space="preserve"> DATE(B$1,12,25)</f>
        <v>41268</v>
      </c>
      <c r="C14" s="32">
        <f t="shared" ref="C14:J14" si="24" xml:space="preserve"> DATE(C$1,12,25)</f>
        <v>41633</v>
      </c>
      <c r="D14" s="32">
        <f t="shared" si="24"/>
        <v>41998</v>
      </c>
      <c r="E14" s="32">
        <f t="shared" si="24"/>
        <v>42363</v>
      </c>
      <c r="F14" s="32">
        <f t="shared" si="24"/>
        <v>42729</v>
      </c>
      <c r="G14" s="32">
        <f t="shared" si="24"/>
        <v>43094</v>
      </c>
      <c r="H14" s="32">
        <f t="shared" si="24"/>
        <v>43459</v>
      </c>
      <c r="I14" s="32">
        <f t="shared" si="24"/>
        <v>43824</v>
      </c>
      <c r="J14" s="32">
        <f t="shared" si="24"/>
        <v>44190</v>
      </c>
      <c r="K14" s="32">
        <f xml:space="preserve"> DATE(K$1,12,25)</f>
        <v>44555</v>
      </c>
      <c r="L14" s="32">
        <f t="shared" ref="L14:AD14" si="25" xml:space="preserve"> DATE(L$1,12,25)</f>
        <v>44920</v>
      </c>
      <c r="M14" s="32">
        <f t="shared" si="25"/>
        <v>45285</v>
      </c>
      <c r="N14" s="32">
        <f t="shared" si="25"/>
        <v>45651</v>
      </c>
      <c r="O14" s="32">
        <f t="shared" si="25"/>
        <v>46016</v>
      </c>
      <c r="P14" s="32">
        <f t="shared" si="25"/>
        <v>46381</v>
      </c>
      <c r="Q14" s="32">
        <f t="shared" si="25"/>
        <v>46746</v>
      </c>
      <c r="R14" s="32">
        <f t="shared" si="25"/>
        <v>47112</v>
      </c>
      <c r="S14" s="32">
        <f t="shared" si="25"/>
        <v>47477</v>
      </c>
      <c r="T14" s="32">
        <f t="shared" si="25"/>
        <v>47842</v>
      </c>
      <c r="U14" s="32">
        <f t="shared" si="25"/>
        <v>48207</v>
      </c>
      <c r="V14" s="32">
        <f t="shared" si="25"/>
        <v>48573</v>
      </c>
      <c r="W14" s="32">
        <f t="shared" si="25"/>
        <v>48938</v>
      </c>
      <c r="X14" s="32">
        <f t="shared" si="25"/>
        <v>49303</v>
      </c>
      <c r="Y14" s="32">
        <f t="shared" si="25"/>
        <v>49668</v>
      </c>
      <c r="Z14" s="32">
        <f t="shared" si="25"/>
        <v>50034</v>
      </c>
      <c r="AA14" s="32">
        <f t="shared" si="25"/>
        <v>50399</v>
      </c>
      <c r="AB14" s="32">
        <f t="shared" si="25"/>
        <v>50764</v>
      </c>
      <c r="AC14" s="32">
        <f t="shared" si="25"/>
        <v>51129</v>
      </c>
      <c r="AD14" s="32">
        <f t="shared" si="25"/>
        <v>51495</v>
      </c>
    </row>
    <row r="29" spans="1:11" x14ac:dyDescent="0.25">
      <c r="K29" s="1"/>
    </row>
    <row r="30" spans="1:11" x14ac:dyDescent="0.25">
      <c r="A30" t="s">
        <v>24</v>
      </c>
      <c r="B30">
        <f>COUNTA(B2:B27)</f>
        <v>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0F00F-336A-4A3C-8A93-FC9BD180E8AD}">
  <sheetPr codeName="Feuil14"/>
  <dimension ref="A1:AD30"/>
  <sheetViews>
    <sheetView workbookViewId="0">
      <selection activeCell="A30" sqref="A30"/>
    </sheetView>
  </sheetViews>
  <sheetFormatPr defaultColWidth="11.42578125" defaultRowHeight="15" x14ac:dyDescent="0.25"/>
  <cols>
    <col min="1" max="1" width="21.85546875" bestFit="1" customWidth="1"/>
  </cols>
  <sheetData>
    <row r="1" spans="1:30" x14ac:dyDescent="0.25">
      <c r="A1" t="s">
        <v>44</v>
      </c>
      <c r="B1">
        <v>2012</v>
      </c>
      <c r="C1">
        <v>2013</v>
      </c>
      <c r="D1">
        <v>2014</v>
      </c>
      <c r="E1">
        <v>2015</v>
      </c>
      <c r="F1">
        <v>2016</v>
      </c>
      <c r="G1">
        <v>2017</v>
      </c>
      <c r="H1">
        <v>2018</v>
      </c>
      <c r="I1">
        <v>2019</v>
      </c>
      <c r="J1">
        <v>2020</v>
      </c>
      <c r="K1">
        <v>2021</v>
      </c>
      <c r="L1">
        <v>2022</v>
      </c>
      <c r="M1">
        <v>2023</v>
      </c>
      <c r="N1">
        <v>2024</v>
      </c>
      <c r="O1">
        <v>2025</v>
      </c>
      <c r="P1">
        <v>2026</v>
      </c>
      <c r="Q1">
        <v>2027</v>
      </c>
      <c r="R1">
        <v>2028</v>
      </c>
      <c r="S1">
        <v>2029</v>
      </c>
      <c r="T1">
        <v>2030</v>
      </c>
      <c r="U1">
        <v>2031</v>
      </c>
      <c r="V1">
        <v>2032</v>
      </c>
      <c r="W1">
        <v>2033</v>
      </c>
      <c r="X1">
        <v>2034</v>
      </c>
      <c r="Y1">
        <v>2035</v>
      </c>
      <c r="Z1">
        <v>2036</v>
      </c>
      <c r="AA1">
        <v>2037</v>
      </c>
      <c r="AB1">
        <v>2038</v>
      </c>
      <c r="AC1">
        <v>2039</v>
      </c>
      <c r="AD1">
        <v>2040</v>
      </c>
    </row>
    <row r="2" spans="1:30" s="1" customFormat="1" x14ac:dyDescent="0.25">
      <c r="A2" t="s">
        <v>75</v>
      </c>
      <c r="B2" s="32">
        <f xml:space="preserve"> DATE(B$1,1,1)</f>
        <v>40909</v>
      </c>
      <c r="C2" s="32">
        <f t="shared" ref="C2:AD2" si="0" xml:space="preserve"> DATE(C$1,1,1)</f>
        <v>41275</v>
      </c>
      <c r="D2" s="32">
        <f t="shared" si="0"/>
        <v>41640</v>
      </c>
      <c r="E2" s="32">
        <f t="shared" si="0"/>
        <v>42005</v>
      </c>
      <c r="F2" s="32">
        <f t="shared" si="0"/>
        <v>42370</v>
      </c>
      <c r="G2" s="32">
        <f t="shared" si="0"/>
        <v>42736</v>
      </c>
      <c r="H2" s="32">
        <f t="shared" si="0"/>
        <v>43101</v>
      </c>
      <c r="I2" s="32">
        <f t="shared" si="0"/>
        <v>43466</v>
      </c>
      <c r="J2" s="32">
        <f t="shared" si="0"/>
        <v>43831</v>
      </c>
      <c r="K2" s="32">
        <f t="shared" si="0"/>
        <v>44197</v>
      </c>
      <c r="L2" s="32">
        <f t="shared" si="0"/>
        <v>44562</v>
      </c>
      <c r="M2" s="32">
        <f t="shared" si="0"/>
        <v>44927</v>
      </c>
      <c r="N2" s="32">
        <f t="shared" si="0"/>
        <v>45292</v>
      </c>
      <c r="O2" s="32">
        <f t="shared" si="0"/>
        <v>45658</v>
      </c>
      <c r="P2" s="32">
        <f t="shared" si="0"/>
        <v>46023</v>
      </c>
      <c r="Q2" s="32">
        <f t="shared" si="0"/>
        <v>46388</v>
      </c>
      <c r="R2" s="32">
        <f t="shared" si="0"/>
        <v>46753</v>
      </c>
      <c r="S2" s="32">
        <f t="shared" si="0"/>
        <v>47119</v>
      </c>
      <c r="T2" s="32">
        <f t="shared" si="0"/>
        <v>47484</v>
      </c>
      <c r="U2" s="32">
        <f t="shared" si="0"/>
        <v>47849</v>
      </c>
      <c r="V2" s="32">
        <f t="shared" si="0"/>
        <v>48214</v>
      </c>
      <c r="W2" s="32">
        <f t="shared" si="0"/>
        <v>48580</v>
      </c>
      <c r="X2" s="32">
        <f t="shared" si="0"/>
        <v>48945</v>
      </c>
      <c r="Y2" s="32">
        <f t="shared" si="0"/>
        <v>49310</v>
      </c>
      <c r="Z2" s="32">
        <f t="shared" si="0"/>
        <v>49675</v>
      </c>
      <c r="AA2" s="32">
        <f t="shared" si="0"/>
        <v>50041</v>
      </c>
      <c r="AB2" s="32">
        <f t="shared" si="0"/>
        <v>50406</v>
      </c>
      <c r="AC2" s="32">
        <f t="shared" si="0"/>
        <v>50771</v>
      </c>
      <c r="AD2" s="32">
        <f t="shared" si="0"/>
        <v>51136</v>
      </c>
    </row>
    <row r="3" spans="1:30" s="1" customFormat="1" x14ac:dyDescent="0.25">
      <c r="A3" t="s">
        <v>76</v>
      </c>
      <c r="B3" s="32">
        <f xml:space="preserve"> DATE(B$1,4,19)</f>
        <v>41018</v>
      </c>
      <c r="C3" s="32">
        <f t="shared" ref="C3:AD3" si="1" xml:space="preserve"> DATE(C$1,4,19)</f>
        <v>41383</v>
      </c>
      <c r="D3" s="32">
        <f t="shared" si="1"/>
        <v>41748</v>
      </c>
      <c r="E3" s="32">
        <f t="shared" si="1"/>
        <v>42113</v>
      </c>
      <c r="F3" s="32">
        <f t="shared" si="1"/>
        <v>42479</v>
      </c>
      <c r="G3" s="32">
        <f t="shared" si="1"/>
        <v>42844</v>
      </c>
      <c r="H3" s="32">
        <f t="shared" si="1"/>
        <v>43209</v>
      </c>
      <c r="I3" s="32">
        <f t="shared" si="1"/>
        <v>43574</v>
      </c>
      <c r="J3" s="32">
        <f t="shared" si="1"/>
        <v>43940</v>
      </c>
      <c r="K3" s="32">
        <f t="shared" si="1"/>
        <v>44305</v>
      </c>
      <c r="L3" s="32">
        <f t="shared" si="1"/>
        <v>44670</v>
      </c>
      <c r="M3" s="32">
        <f t="shared" si="1"/>
        <v>45035</v>
      </c>
      <c r="N3" s="32">
        <f t="shared" si="1"/>
        <v>45401</v>
      </c>
      <c r="O3" s="32">
        <f t="shared" si="1"/>
        <v>45766</v>
      </c>
      <c r="P3" s="32">
        <f t="shared" si="1"/>
        <v>46131</v>
      </c>
      <c r="Q3" s="32">
        <f t="shared" si="1"/>
        <v>46496</v>
      </c>
      <c r="R3" s="32">
        <f t="shared" si="1"/>
        <v>46862</v>
      </c>
      <c r="S3" s="32">
        <f t="shared" si="1"/>
        <v>47227</v>
      </c>
      <c r="T3" s="32">
        <f t="shared" si="1"/>
        <v>47592</v>
      </c>
      <c r="U3" s="32">
        <f t="shared" si="1"/>
        <v>47957</v>
      </c>
      <c r="V3" s="32">
        <f t="shared" si="1"/>
        <v>48323</v>
      </c>
      <c r="W3" s="32">
        <f t="shared" si="1"/>
        <v>48688</v>
      </c>
      <c r="X3" s="32">
        <f t="shared" si="1"/>
        <v>49053</v>
      </c>
      <c r="Y3" s="32">
        <f t="shared" si="1"/>
        <v>49418</v>
      </c>
      <c r="Z3" s="32">
        <f t="shared" si="1"/>
        <v>49784</v>
      </c>
      <c r="AA3" s="32">
        <f t="shared" si="1"/>
        <v>50149</v>
      </c>
      <c r="AB3" s="32">
        <f t="shared" si="1"/>
        <v>50514</v>
      </c>
      <c r="AC3" s="32">
        <f t="shared" si="1"/>
        <v>50879</v>
      </c>
      <c r="AD3" s="32">
        <f t="shared" si="1"/>
        <v>51245</v>
      </c>
    </row>
    <row r="4" spans="1:30" s="1" customFormat="1" x14ac:dyDescent="0.25">
      <c r="A4" t="s">
        <v>46</v>
      </c>
      <c r="B4" s="32">
        <f xml:space="preserve"> FLOOR(DAY(MINUTE(B$1/38)/2+56)&amp;"/5/"&amp;B$1,7)-34 +1</f>
        <v>41008</v>
      </c>
      <c r="C4" s="32">
        <f t="shared" ref="C4:AD4" si="2" xml:space="preserve"> FLOOR(DAY(MINUTE(C$1/38)/2+56)&amp;"/5/"&amp;C$1,7)-34 +1</f>
        <v>41365</v>
      </c>
      <c r="D4" s="32">
        <f t="shared" si="2"/>
        <v>41750</v>
      </c>
      <c r="E4" s="32">
        <f t="shared" si="2"/>
        <v>42100</v>
      </c>
      <c r="F4" s="32">
        <f t="shared" si="2"/>
        <v>42457</v>
      </c>
      <c r="G4" s="32">
        <f t="shared" si="2"/>
        <v>42842</v>
      </c>
      <c r="H4" s="32">
        <f t="shared" si="2"/>
        <v>43192</v>
      </c>
      <c r="I4" s="32">
        <f t="shared" si="2"/>
        <v>43577</v>
      </c>
      <c r="J4" s="32">
        <f t="shared" si="2"/>
        <v>43934</v>
      </c>
      <c r="K4" s="32">
        <f t="shared" si="2"/>
        <v>44291</v>
      </c>
      <c r="L4" s="32">
        <f t="shared" si="2"/>
        <v>44669</v>
      </c>
      <c r="M4" s="32">
        <f t="shared" si="2"/>
        <v>45026</v>
      </c>
      <c r="N4" s="32">
        <f t="shared" si="2"/>
        <v>45383</v>
      </c>
      <c r="O4" s="32">
        <f t="shared" si="2"/>
        <v>45768</v>
      </c>
      <c r="P4" s="32">
        <f t="shared" si="2"/>
        <v>46118</v>
      </c>
      <c r="Q4" s="32">
        <f t="shared" si="2"/>
        <v>46475</v>
      </c>
      <c r="R4" s="32">
        <f t="shared" si="2"/>
        <v>46860</v>
      </c>
      <c r="S4" s="32">
        <f t="shared" si="2"/>
        <v>47210</v>
      </c>
      <c r="T4" s="32">
        <f t="shared" si="2"/>
        <v>47595</v>
      </c>
      <c r="U4" s="32">
        <f t="shared" si="2"/>
        <v>47952</v>
      </c>
      <c r="V4" s="32">
        <f t="shared" si="2"/>
        <v>48302</v>
      </c>
      <c r="W4" s="32">
        <f t="shared" si="2"/>
        <v>48687</v>
      </c>
      <c r="X4" s="32">
        <f t="shared" si="2"/>
        <v>49044</v>
      </c>
      <c r="Y4" s="32">
        <f t="shared" si="2"/>
        <v>49394</v>
      </c>
      <c r="Z4" s="32">
        <f t="shared" si="2"/>
        <v>49779</v>
      </c>
      <c r="AA4" s="32">
        <f t="shared" si="2"/>
        <v>50136</v>
      </c>
      <c r="AB4" s="32">
        <f t="shared" si="2"/>
        <v>50521</v>
      </c>
      <c r="AC4" s="32">
        <f t="shared" si="2"/>
        <v>50871</v>
      </c>
      <c r="AD4" s="32">
        <f t="shared" si="2"/>
        <v>51228</v>
      </c>
    </row>
    <row r="5" spans="1:30" s="1" customFormat="1" x14ac:dyDescent="0.25">
      <c r="A5" t="s">
        <v>77</v>
      </c>
      <c r="B5" s="32">
        <f xml:space="preserve"> DATE(B$1,5,3)</f>
        <v>41032</v>
      </c>
      <c r="C5" s="32">
        <f t="shared" ref="C5:AD5" si="3" xml:space="preserve"> DATE(C$1,5,3)</f>
        <v>41397</v>
      </c>
      <c r="D5" s="32">
        <f t="shared" si="3"/>
        <v>41762</v>
      </c>
      <c r="E5" s="32">
        <f t="shared" si="3"/>
        <v>42127</v>
      </c>
      <c r="F5" s="32">
        <f t="shared" si="3"/>
        <v>42493</v>
      </c>
      <c r="G5" s="32">
        <f t="shared" si="3"/>
        <v>42858</v>
      </c>
      <c r="H5" s="32">
        <f t="shared" si="3"/>
        <v>43223</v>
      </c>
      <c r="I5" s="32">
        <f t="shared" si="3"/>
        <v>43588</v>
      </c>
      <c r="J5" s="32">
        <f t="shared" si="3"/>
        <v>43954</v>
      </c>
      <c r="K5" s="32">
        <f t="shared" si="3"/>
        <v>44319</v>
      </c>
      <c r="L5" s="32">
        <f t="shared" si="3"/>
        <v>44684</v>
      </c>
      <c r="M5" s="32">
        <f t="shared" si="3"/>
        <v>45049</v>
      </c>
      <c r="N5" s="32">
        <f t="shared" si="3"/>
        <v>45415</v>
      </c>
      <c r="O5" s="32">
        <f t="shared" si="3"/>
        <v>45780</v>
      </c>
      <c r="P5" s="32">
        <f t="shared" si="3"/>
        <v>46145</v>
      </c>
      <c r="Q5" s="32">
        <f t="shared" si="3"/>
        <v>46510</v>
      </c>
      <c r="R5" s="32">
        <f t="shared" si="3"/>
        <v>46876</v>
      </c>
      <c r="S5" s="32">
        <f t="shared" si="3"/>
        <v>47241</v>
      </c>
      <c r="T5" s="32">
        <f t="shared" si="3"/>
        <v>47606</v>
      </c>
      <c r="U5" s="32">
        <f t="shared" si="3"/>
        <v>47971</v>
      </c>
      <c r="V5" s="32">
        <f t="shared" si="3"/>
        <v>48337</v>
      </c>
      <c r="W5" s="32">
        <f t="shared" si="3"/>
        <v>48702</v>
      </c>
      <c r="X5" s="32">
        <f t="shared" si="3"/>
        <v>49067</v>
      </c>
      <c r="Y5" s="32">
        <f t="shared" si="3"/>
        <v>49432</v>
      </c>
      <c r="Z5" s="32">
        <f t="shared" si="3"/>
        <v>49798</v>
      </c>
      <c r="AA5" s="32">
        <f t="shared" si="3"/>
        <v>50163</v>
      </c>
      <c r="AB5" s="32">
        <f t="shared" si="3"/>
        <v>50528</v>
      </c>
      <c r="AC5" s="32">
        <f t="shared" si="3"/>
        <v>50893</v>
      </c>
      <c r="AD5" s="32">
        <f t="shared" si="3"/>
        <v>51259</v>
      </c>
    </row>
    <row r="6" spans="1:30" s="1" customFormat="1" x14ac:dyDescent="0.25">
      <c r="A6" t="s">
        <v>78</v>
      </c>
      <c r="B6" s="32">
        <f xml:space="preserve"> DATE(B$1,5,31)</f>
        <v>41060</v>
      </c>
      <c r="C6" s="32">
        <f t="shared" ref="C6:AD6" si="4" xml:space="preserve"> DATE(C$1,5,31)</f>
        <v>41425</v>
      </c>
      <c r="D6" s="32">
        <f t="shared" si="4"/>
        <v>41790</v>
      </c>
      <c r="E6" s="32">
        <f t="shared" si="4"/>
        <v>42155</v>
      </c>
      <c r="F6" s="32">
        <f t="shared" si="4"/>
        <v>42521</v>
      </c>
      <c r="G6" s="32">
        <f t="shared" si="4"/>
        <v>42886</v>
      </c>
      <c r="H6" s="32">
        <f t="shared" si="4"/>
        <v>43251</v>
      </c>
      <c r="I6" s="32">
        <f t="shared" si="4"/>
        <v>43616</v>
      </c>
      <c r="J6" s="32">
        <f t="shared" si="4"/>
        <v>43982</v>
      </c>
      <c r="K6" s="32">
        <f t="shared" si="4"/>
        <v>44347</v>
      </c>
      <c r="L6" s="32">
        <f t="shared" si="4"/>
        <v>44712</v>
      </c>
      <c r="M6" s="32">
        <f t="shared" si="4"/>
        <v>45077</v>
      </c>
      <c r="N6" s="32">
        <f t="shared" si="4"/>
        <v>45443</v>
      </c>
      <c r="O6" s="32">
        <f t="shared" si="4"/>
        <v>45808</v>
      </c>
      <c r="P6" s="32">
        <f t="shared" si="4"/>
        <v>46173</v>
      </c>
      <c r="Q6" s="32">
        <f t="shared" si="4"/>
        <v>46538</v>
      </c>
      <c r="R6" s="32">
        <f t="shared" si="4"/>
        <v>46904</v>
      </c>
      <c r="S6" s="32">
        <f t="shared" si="4"/>
        <v>47269</v>
      </c>
      <c r="T6" s="32">
        <f t="shared" si="4"/>
        <v>47634</v>
      </c>
      <c r="U6" s="32">
        <f t="shared" si="4"/>
        <v>47999</v>
      </c>
      <c r="V6" s="32">
        <f t="shared" si="4"/>
        <v>48365</v>
      </c>
      <c r="W6" s="32">
        <f t="shared" si="4"/>
        <v>48730</v>
      </c>
      <c r="X6" s="32">
        <f t="shared" si="4"/>
        <v>49095</v>
      </c>
      <c r="Y6" s="32">
        <f t="shared" si="4"/>
        <v>49460</v>
      </c>
      <c r="Z6" s="32">
        <f t="shared" si="4"/>
        <v>49826</v>
      </c>
      <c r="AA6" s="32">
        <f t="shared" si="4"/>
        <v>50191</v>
      </c>
      <c r="AB6" s="32">
        <f t="shared" si="4"/>
        <v>50556</v>
      </c>
      <c r="AC6" s="32">
        <f t="shared" si="4"/>
        <v>50921</v>
      </c>
      <c r="AD6" s="32">
        <f t="shared" si="4"/>
        <v>51287</v>
      </c>
    </row>
    <row r="7" spans="1:30" s="1" customFormat="1" x14ac:dyDescent="0.25">
      <c r="A7" t="s">
        <v>79</v>
      </c>
      <c r="B7" s="32">
        <f xml:space="preserve"> DATE(B$1,8,30)</f>
        <v>41151</v>
      </c>
      <c r="C7" s="32">
        <f t="shared" ref="C7:AD7" si="5" xml:space="preserve"> DATE(C$1,8,30)</f>
        <v>41516</v>
      </c>
      <c r="D7" s="32">
        <f t="shared" si="5"/>
        <v>41881</v>
      </c>
      <c r="E7" s="32">
        <f t="shared" si="5"/>
        <v>42246</v>
      </c>
      <c r="F7" s="32">
        <f t="shared" si="5"/>
        <v>42612</v>
      </c>
      <c r="G7" s="32">
        <f t="shared" si="5"/>
        <v>42977</v>
      </c>
      <c r="H7" s="32">
        <f t="shared" si="5"/>
        <v>43342</v>
      </c>
      <c r="I7" s="32">
        <f t="shared" si="5"/>
        <v>43707</v>
      </c>
      <c r="J7" s="32">
        <f t="shared" si="5"/>
        <v>44073</v>
      </c>
      <c r="K7" s="32">
        <f t="shared" si="5"/>
        <v>44438</v>
      </c>
      <c r="L7" s="32">
        <f t="shared" si="5"/>
        <v>44803</v>
      </c>
      <c r="M7" s="32">
        <f t="shared" si="5"/>
        <v>45168</v>
      </c>
      <c r="N7" s="32">
        <f t="shared" si="5"/>
        <v>45534</v>
      </c>
      <c r="O7" s="32">
        <f t="shared" si="5"/>
        <v>45899</v>
      </c>
      <c r="P7" s="32">
        <f t="shared" si="5"/>
        <v>46264</v>
      </c>
      <c r="Q7" s="32">
        <f t="shared" si="5"/>
        <v>46629</v>
      </c>
      <c r="R7" s="32">
        <f t="shared" si="5"/>
        <v>46995</v>
      </c>
      <c r="S7" s="32">
        <f t="shared" si="5"/>
        <v>47360</v>
      </c>
      <c r="T7" s="32">
        <f t="shared" si="5"/>
        <v>47725</v>
      </c>
      <c r="U7" s="32">
        <f t="shared" si="5"/>
        <v>48090</v>
      </c>
      <c r="V7" s="32">
        <f t="shared" si="5"/>
        <v>48456</v>
      </c>
      <c r="W7" s="32">
        <f t="shared" si="5"/>
        <v>48821</v>
      </c>
      <c r="X7" s="32">
        <f t="shared" si="5"/>
        <v>49186</v>
      </c>
      <c r="Y7" s="32">
        <f t="shared" si="5"/>
        <v>49551</v>
      </c>
      <c r="Z7" s="32">
        <f t="shared" si="5"/>
        <v>49917</v>
      </c>
      <c r="AA7" s="32">
        <f t="shared" si="5"/>
        <v>50282</v>
      </c>
      <c r="AB7" s="32">
        <f t="shared" si="5"/>
        <v>50647</v>
      </c>
      <c r="AC7" s="32">
        <f t="shared" si="5"/>
        <v>51012</v>
      </c>
      <c r="AD7" s="32">
        <f t="shared" si="5"/>
        <v>51378</v>
      </c>
    </row>
    <row r="8" spans="1:30" s="1" customFormat="1" x14ac:dyDescent="0.25">
      <c r="A8" t="s">
        <v>57</v>
      </c>
      <c r="B8" s="32">
        <f xml:space="preserve"> DATE(B$1,12,25)</f>
        <v>41268</v>
      </c>
      <c r="C8" s="32">
        <f t="shared" ref="C8:AD8" si="6" xml:space="preserve"> DATE(C$1,12,25)</f>
        <v>41633</v>
      </c>
      <c r="D8" s="32">
        <f t="shared" si="6"/>
        <v>41998</v>
      </c>
      <c r="E8" s="32">
        <f t="shared" si="6"/>
        <v>42363</v>
      </c>
      <c r="F8" s="32">
        <f t="shared" si="6"/>
        <v>42729</v>
      </c>
      <c r="G8" s="32">
        <f t="shared" si="6"/>
        <v>43094</v>
      </c>
      <c r="H8" s="32">
        <f t="shared" si="6"/>
        <v>43459</v>
      </c>
      <c r="I8" s="32">
        <f t="shared" si="6"/>
        <v>43824</v>
      </c>
      <c r="J8" s="32">
        <f t="shared" si="6"/>
        <v>44190</v>
      </c>
      <c r="K8" s="32">
        <f t="shared" si="6"/>
        <v>44555</v>
      </c>
      <c r="L8" s="32">
        <f t="shared" si="6"/>
        <v>44920</v>
      </c>
      <c r="M8" s="32">
        <f t="shared" si="6"/>
        <v>45285</v>
      </c>
      <c r="N8" s="32">
        <f t="shared" si="6"/>
        <v>45651</v>
      </c>
      <c r="O8" s="32">
        <f t="shared" si="6"/>
        <v>46016</v>
      </c>
      <c r="P8" s="32">
        <f t="shared" si="6"/>
        <v>46381</v>
      </c>
      <c r="Q8" s="32">
        <f t="shared" si="6"/>
        <v>46746</v>
      </c>
      <c r="R8" s="32">
        <f t="shared" si="6"/>
        <v>47112</v>
      </c>
      <c r="S8" s="32">
        <f t="shared" si="6"/>
        <v>47477</v>
      </c>
      <c r="T8" s="32">
        <f t="shared" si="6"/>
        <v>47842</v>
      </c>
      <c r="U8" s="32">
        <f t="shared" si="6"/>
        <v>48207</v>
      </c>
      <c r="V8" s="32">
        <f t="shared" si="6"/>
        <v>48573</v>
      </c>
      <c r="W8" s="32">
        <f t="shared" si="6"/>
        <v>48938</v>
      </c>
      <c r="X8" s="32">
        <f t="shared" si="6"/>
        <v>49303</v>
      </c>
      <c r="Y8" s="32">
        <f t="shared" si="6"/>
        <v>49668</v>
      </c>
      <c r="Z8" s="32">
        <f t="shared" si="6"/>
        <v>50034</v>
      </c>
      <c r="AA8" s="32">
        <f t="shared" si="6"/>
        <v>50399</v>
      </c>
      <c r="AB8" s="32">
        <f t="shared" si="6"/>
        <v>50764</v>
      </c>
      <c r="AC8" s="32">
        <f t="shared" si="6"/>
        <v>51129</v>
      </c>
      <c r="AD8" s="32">
        <f t="shared" si="6"/>
        <v>51495</v>
      </c>
    </row>
    <row r="9" spans="1:30" s="1" customFormat="1" x14ac:dyDescent="0.25">
      <c r="A9" t="s">
        <v>80</v>
      </c>
      <c r="B9" s="32">
        <f xml:space="preserve"> DATE(B$1,12,26)</f>
        <v>41269</v>
      </c>
      <c r="C9" s="32">
        <f t="shared" ref="C9:AD9" si="7" xml:space="preserve"> DATE(C$1,12,26)</f>
        <v>41634</v>
      </c>
      <c r="D9" s="32">
        <f t="shared" si="7"/>
        <v>41999</v>
      </c>
      <c r="E9" s="32">
        <f t="shared" si="7"/>
        <v>42364</v>
      </c>
      <c r="F9" s="32">
        <f t="shared" si="7"/>
        <v>42730</v>
      </c>
      <c r="G9" s="32">
        <f t="shared" si="7"/>
        <v>43095</v>
      </c>
      <c r="H9" s="32">
        <f t="shared" si="7"/>
        <v>43460</v>
      </c>
      <c r="I9" s="32">
        <f t="shared" si="7"/>
        <v>43825</v>
      </c>
      <c r="J9" s="32">
        <f t="shared" si="7"/>
        <v>44191</v>
      </c>
      <c r="K9" s="32">
        <f t="shared" si="7"/>
        <v>44556</v>
      </c>
      <c r="L9" s="32">
        <f t="shared" si="7"/>
        <v>44921</v>
      </c>
      <c r="M9" s="32">
        <f t="shared" si="7"/>
        <v>45286</v>
      </c>
      <c r="N9" s="32">
        <f t="shared" si="7"/>
        <v>45652</v>
      </c>
      <c r="O9" s="32">
        <f t="shared" si="7"/>
        <v>46017</v>
      </c>
      <c r="P9" s="32">
        <f t="shared" si="7"/>
        <v>46382</v>
      </c>
      <c r="Q9" s="32">
        <f t="shared" si="7"/>
        <v>46747</v>
      </c>
      <c r="R9" s="32">
        <f t="shared" si="7"/>
        <v>47113</v>
      </c>
      <c r="S9" s="32">
        <f t="shared" si="7"/>
        <v>47478</v>
      </c>
      <c r="T9" s="32">
        <f t="shared" si="7"/>
        <v>47843</v>
      </c>
      <c r="U9" s="32">
        <f t="shared" si="7"/>
        <v>48208</v>
      </c>
      <c r="V9" s="32">
        <f t="shared" si="7"/>
        <v>48574</v>
      </c>
      <c r="W9" s="32">
        <f t="shared" si="7"/>
        <v>48939</v>
      </c>
      <c r="X9" s="32">
        <f t="shared" si="7"/>
        <v>49304</v>
      </c>
      <c r="Y9" s="32">
        <f t="shared" si="7"/>
        <v>49669</v>
      </c>
      <c r="Z9" s="32">
        <f t="shared" si="7"/>
        <v>50035</v>
      </c>
      <c r="AA9" s="32">
        <f t="shared" si="7"/>
        <v>50400</v>
      </c>
      <c r="AB9" s="32">
        <f t="shared" si="7"/>
        <v>50765</v>
      </c>
      <c r="AC9" s="32">
        <f t="shared" si="7"/>
        <v>51130</v>
      </c>
      <c r="AD9" s="32">
        <f t="shared" si="7"/>
        <v>51496</v>
      </c>
    </row>
    <row r="10" spans="1:30" x14ac:dyDescent="0.25"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</row>
    <row r="11" spans="1:30" x14ac:dyDescent="0.25"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</row>
    <row r="12" spans="1:30" x14ac:dyDescent="0.25"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</row>
    <row r="13" spans="1:30" x14ac:dyDescent="0.25"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</row>
    <row r="14" spans="1:30" x14ac:dyDescent="0.25"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</row>
    <row r="30" spans="1:2" x14ac:dyDescent="0.25">
      <c r="A30" t="s">
        <v>24</v>
      </c>
      <c r="B30">
        <f>COUNTA(B2:B27)</f>
        <v>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A242F-33A5-4F03-92D8-F2454E4C64F3}">
  <sheetPr codeName="Feuil6"/>
  <dimension ref="A1:K14"/>
  <sheetViews>
    <sheetView workbookViewId="0">
      <selection activeCell="H38" sqref="H38"/>
    </sheetView>
  </sheetViews>
  <sheetFormatPr defaultColWidth="11.42578125" defaultRowHeight="15" x14ac:dyDescent="0.25"/>
  <cols>
    <col min="2" max="2" width="12.7109375" bestFit="1" customWidth="1"/>
    <col min="3" max="3" width="17.85546875" bestFit="1" customWidth="1"/>
    <col min="7" max="7" width="22.85546875" bestFit="1" customWidth="1"/>
  </cols>
  <sheetData>
    <row r="1" spans="1:11" x14ac:dyDescent="0.25">
      <c r="A1" t="s">
        <v>3</v>
      </c>
      <c r="B1" t="s">
        <v>6</v>
      </c>
      <c r="C1" t="s">
        <v>25</v>
      </c>
      <c r="D1" t="s">
        <v>32</v>
      </c>
      <c r="E1" t="s">
        <v>42</v>
      </c>
      <c r="F1" t="s">
        <v>29</v>
      </c>
      <c r="G1" t="s">
        <v>60</v>
      </c>
      <c r="H1" t="s">
        <v>62</v>
      </c>
      <c r="I1" t="s">
        <v>64</v>
      </c>
      <c r="J1" t="s">
        <v>72</v>
      </c>
      <c r="K1" t="s">
        <v>84</v>
      </c>
    </row>
    <row r="2" spans="1:11" x14ac:dyDescent="0.25">
      <c r="A2" t="s">
        <v>9</v>
      </c>
      <c r="B2" t="s">
        <v>10</v>
      </c>
      <c r="C2">
        <v>0</v>
      </c>
      <c r="D2" t="s">
        <v>33</v>
      </c>
      <c r="E2" t="s">
        <v>38</v>
      </c>
      <c r="F2" t="s">
        <v>43</v>
      </c>
      <c r="G2" t="s">
        <v>59</v>
      </c>
      <c r="H2" t="s">
        <v>35</v>
      </c>
      <c r="I2" t="s">
        <v>38</v>
      </c>
      <c r="J2" t="s">
        <v>73</v>
      </c>
      <c r="K2" t="s">
        <v>85</v>
      </c>
    </row>
    <row r="3" spans="1:11" x14ac:dyDescent="0.25">
      <c r="A3" t="s">
        <v>18</v>
      </c>
      <c r="B3" t="s">
        <v>20</v>
      </c>
      <c r="C3">
        <v>1</v>
      </c>
      <c r="D3" t="s">
        <v>36</v>
      </c>
      <c r="F3" t="s">
        <v>67</v>
      </c>
      <c r="G3" t="s">
        <v>61</v>
      </c>
      <c r="H3" t="s">
        <v>63</v>
      </c>
      <c r="I3" t="s">
        <v>65</v>
      </c>
      <c r="J3" t="s">
        <v>74</v>
      </c>
      <c r="K3" t="s">
        <v>86</v>
      </c>
    </row>
    <row r="4" spans="1:11" x14ac:dyDescent="0.25">
      <c r="C4">
        <v>2</v>
      </c>
      <c r="I4" t="s">
        <v>66</v>
      </c>
    </row>
    <row r="5" spans="1:11" x14ac:dyDescent="0.25">
      <c r="C5">
        <v>3</v>
      </c>
    </row>
    <row r="6" spans="1:11" x14ac:dyDescent="0.25">
      <c r="C6">
        <v>4</v>
      </c>
    </row>
    <row r="7" spans="1:11" x14ac:dyDescent="0.25">
      <c r="C7">
        <v>5</v>
      </c>
    </row>
    <row r="8" spans="1:11" x14ac:dyDescent="0.25">
      <c r="C8">
        <v>6</v>
      </c>
    </row>
    <row r="9" spans="1:11" x14ac:dyDescent="0.25">
      <c r="C9">
        <v>7</v>
      </c>
    </row>
    <row r="10" spans="1:11" x14ac:dyDescent="0.25">
      <c r="C10">
        <v>8</v>
      </c>
    </row>
    <row r="11" spans="1:11" x14ac:dyDescent="0.25">
      <c r="C11">
        <v>9</v>
      </c>
    </row>
    <row r="12" spans="1:11" x14ac:dyDescent="0.25">
      <c r="C12">
        <v>10</v>
      </c>
    </row>
    <row r="13" spans="1:11" x14ac:dyDescent="0.25">
      <c r="C13">
        <v>11</v>
      </c>
    </row>
    <row r="14" spans="1:11" x14ac:dyDescent="0.25">
      <c r="C14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Bond</vt:lpstr>
      <vt:lpstr>Interest Rate Swap</vt:lpstr>
      <vt:lpstr>Total Return Swap</vt:lpstr>
      <vt:lpstr>Discount Rate</vt:lpstr>
      <vt:lpstr>EURIBOR</vt:lpstr>
      <vt:lpstr>Calendrier Français</vt:lpstr>
      <vt:lpstr>Calendrier Anglais</vt:lpstr>
      <vt:lpstr>Utilitaires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Antoine</dc:creator>
  <cp:lastModifiedBy>Antoine</cp:lastModifiedBy>
  <dcterms:created xsi:type="dcterms:W3CDTF">2021-07-12T17:34:53Z</dcterms:created>
  <dcterms:modified xsi:type="dcterms:W3CDTF">2022-06-01T10:13:58Z</dcterms:modified>
</cp:coreProperties>
</file>